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5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creens" sheetId="2" state="visible" r:id="rId4"/>
    <sheet name="Counts" sheetId="3" state="visible" r:id="rId5"/>
    <sheet name="Screen sizes" sheetId="4" state="visible" r:id="rId6"/>
    <sheet name="Top problems" sheetId="5" state="visible" r:id="rId7"/>
    <sheet name="Shared UI" sheetId="6" state="visible" r:id="rId8"/>
    <sheet name="Tokens" sheetId="7" state="visible" r:id="rId9"/>
    <sheet name="Token usage" sheetId="8" state="visible" r:id="rId10"/>
    <sheet name="Breakpoints" sheetId="9" state="visible" r:id="rId11"/>
    <sheet name="Deviations" sheetId="10" state="visible" r:id="rId12"/>
    <sheet name="Prod checks" sheetId="11" state="visible" r:id="rId13"/>
  </sheets>
  <definedNames>
    <definedName function="false" hidden="true" localSheetId="8" name="_xlnm._FilterDatabase" vbProcedure="false">Breakpoints!$A$1:$G$128</definedName>
    <definedName function="false" hidden="true" localSheetId="9" name="_xlnm._FilterDatabase" vbProcedure="false">Deviations!$A$1:$E$638</definedName>
    <definedName function="false" hidden="true" localSheetId="10" name="_xlnm._FilterDatabase" vbProcedure="false">'Prod checks'!$A$1:$D$21</definedName>
    <definedName function="false" hidden="true" localSheetId="1" name="_xlnm._FilterDatabase" vbProcedure="false">Screens!$A$1:$Q$153</definedName>
    <definedName function="false" hidden="true" localSheetId="5" name="_xlnm._FilterDatabase" vbProcedure="false">'Shared UI'!$A$1:$G$86</definedName>
    <definedName function="false" hidden="true" localSheetId="7" name="_xlnm._FilterDatabase" vbProcedure="false">'Token usage'!$A$1:$D$270</definedName>
    <definedName function="false" hidden="true" localSheetId="6" name="_xlnm._FilterDatabase" vbProcedure="false">Tokens!$A$1:$F$46</definedName>
    <definedName function="false" hidden="true" localSheetId="4" name="_xlnm._FilterDatabase" vbProcedure="false">'Top problems'!$A$1:$D$12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<sst xmlns="http://schemas.openxmlformats.org/spreadsheetml/2006/main" count="7499" uniqueCount="2831">
  <si>
    <t xml:space="preserve">SocialUs screen inventory — 2026-10-01</t>
  </si>
  <si>
    <t xml:space="preserve">Source: socialus-web origin/main @ b362559 (read via git archive; working tree untouched). Production: www.socialus.org, signed out, measured at 360/390/768/1024/1280/1440/1920 px.</t>
  </si>
  <si>
    <t xml:space="preserve">Source column: "Code + verified in prod" = seen on production signed out. "Code" = read from code only (signed-in, owner, operator and overlay states need a sign-in).</t>
  </si>
  <si>
    <t xml:space="preserve">Owner view of a Page is not re-inventoried here: see owner-page-spec.md in this folder.</t>
  </si>
  <si>
    <t xml:space="preserve">Nothing is marked as cut. Orphaned/unrouted components are listed so every screen is accounted for, not as a recommendation.</t>
  </si>
  <si>
    <t xml:space="preserve">Screen sizes: 6" phone ≈ 360–430 css px · 8–11" tablet ≈ 768–1024 · 13–14" laptop ≈ 1280–1440 · 15–16" laptop ≈ 1440–1728 · 27" monitor ≈ 1920–2560.</t>
  </si>
  <si>
    <t xml:space="preserve">Tabs: Screens · Counts · Screen sizes · Top problems · Shared UI · Tokens · Token usage · Breakpoints · Deviations · Prod checks</t>
  </si>
  <si>
    <t xml:space="preserve">ID</t>
  </si>
  <si>
    <t xml:space="preserve">Route</t>
  </si>
  <si>
    <t xml:space="preserve">Screen</t>
  </si>
  <si>
    <t xml:space="preserve">Area</t>
  </si>
  <si>
    <t xml:space="preserve">Kind</t>
  </si>
  <si>
    <t xml:space="preserve">Host screen</t>
  </si>
  <si>
    <t xml:space="preserve">Screen type</t>
  </si>
  <si>
    <t xml:space="preserve">Who sees it</t>
  </si>
  <si>
    <t xml:space="preserve">Purpose</t>
  </si>
  <si>
    <t xml:space="preserve">Sections &amp; controls (top to bottom)</t>
  </si>
  <si>
    <t xml:space="preserve">Phone layout (6")</t>
  </si>
  <si>
    <t xml:space="preserve">Wide layout (13–27")</t>
  </si>
  <si>
    <t xml:space="preserve">Breakpoints used</t>
  </si>
  <si>
    <t xml:space="preserve">Structure problems</t>
  </si>
  <si>
    <t xml:space="preserve">Files</t>
  </si>
  <si>
    <t xml:space="preserve">Source</t>
  </si>
  <si>
    <t xml:space="preserve">Production notes</t>
  </si>
  <si>
    <t xml:space="preserve">S001</t>
  </si>
  <si>
    <t xml:space="preserve">(any)</t>
  </si>
  <si>
    <t xml:space="preserve">Global not-found</t>
  </si>
  <si>
    <t xml:space="preserve">Public browse &amp; detail</t>
  </si>
  <si>
    <t xml:space="preserve">error</t>
  </si>
  <si>
    <t xml:space="preserve">empty/error</t>
  </si>
  <si>
    <t xml:space="preserve">signed out, signed in</t>
  </si>
  <si>
    <t xml:space="preserve">Fallback for every notFound() above and any thrown server error</t>
  </si>
  <si>
    <t xml:space="preserve">Next.js built-in 404 / error page inside root layout (nav still rendered)</t>
  </si>
  <si>
    <t xml:space="preserve">partial</t>
  </si>
  <si>
    <t xml:space="preserve">none</t>
  </si>
  <si>
    <t xml:space="preserve">• No branded 404/error/loading files anywhere under src/app - every notFound() path and server error falls to framework defaults with no way back except nav</t>
  </si>
  <si>
    <t xml:space="preserve">(none) - no src/app/not-found.tsx, error.tsx, loading.tsx or global-error.tsx exist</t>
  </si>
  <si>
    <t xml:space="preserve">Code + verified in prod</t>
  </si>
  <si>
    <t xml:space="preserve">Verified: Next default "404 This page could not be found." inside app nav</t>
  </si>
  <si>
    <t xml:space="preserve">S002</t>
  </si>
  <si>
    <t xml:space="preserve">(unrouted) HomeFeed</t>
  </si>
  <si>
    <t xml:space="preserve">Home feed (orphaned)</t>
  </si>
  <si>
    <t xml:space="preserve">page</t>
  </si>
  <si>
    <t xml:space="preserve">feed</t>
  </si>
  <si>
    <t xml:space="preserve">Former home: events in next 30 days with filter chips - not imported by any route</t>
  </si>
  <si>
    <t xml:space="preserve">Mobile sticky header (logo | You or AuthCtaButtons) &gt; fixed bottom search pill (md:hidden) &gt; H1 'What's on near X' &gt; filter chips All/Markets/Vendor Specials &gt; event grid 2/3 cols (skeleton, empty) &gt; RecruitmentGrid</t>
  </si>
  <si>
    <t xml:space="preserve">yes</t>
  </si>
  <si>
    <t xml:space="preserve">partial - md:grid-cols-3, no max-w</t>
  </si>
  <si>
    <t xml:space="preserve">md:</t>
  </si>
  <si>
    <t xml:space="preserve">• Dead code: no import of HomeFeed in src/app (grep) - and it POSTs /api/jobs/generate-market-sessions on mount (HomeFeed.tsx:42)
• Uses filter pills, which Explore ruled out (BrowseSurface.tsx:7-9)</t>
  </si>
  <si>
    <t xml:space="preserve">src/components/HomeFeed.tsx:31-209</t>
  </si>
  <si>
    <t xml:space="preserve">Code</t>
  </si>
  <si>
    <t xml:space="preserve">S003</t>
  </si>
  <si>
    <t xml:space="preserve">(unrouted) LocalityFeed</t>
  </si>
  <si>
    <t xml:space="preserve">Locality feed (orphaned)</t>
  </si>
  <si>
    <t xml:space="preserve">Place-scoped item feed kept for future; not rendered by any route</t>
  </si>
  <si>
    <t xml:space="preserve">MakeThisYoursBanner &gt; 'Near {place}' + ScopePicker select &gt; ItemFeedCard grid 2/3 cols or FeedEmptyState</t>
  </si>
  <si>
    <t xml:space="preserve">partial - max-w-3xl, sm:grid-cols-3</t>
  </si>
  <si>
    <t xml:space="preserve">sm:</t>
  </si>
  <si>
    <t xml:space="preserve">• ScopePicker pushes '/?place=' (ScopePicker.tsx:27) which now redirects to /explore and drops the param - broken if re-mounted</t>
  </si>
  <si>
    <t xml:space="preserve">src/components/feed/LocalityFeed.tsx:15-96; src/components/feed/ScopePicker.tsx</t>
  </si>
  <si>
    <t xml:space="preserve">S004</t>
  </si>
  <si>
    <t xml:space="preserve">Locality feed - no place</t>
  </si>
  <si>
    <t xml:space="preserve">empty</t>
  </si>
  <si>
    <t xml:space="preserve">'Where are you?' card</t>
  </si>
  <si>
    <t xml:space="preserve">Banner &gt; 'Where are you?' card with no control</t>
  </si>
  <si>
    <t xml:space="preserve">• Says 'Pick a Place' but offers no picker - dead end (LocalityFeed.tsx:50-53)</t>
  </si>
  <si>
    <t xml:space="preserve">src/components/feed/LocalityFeed.tsx:46-56</t>
  </si>
  <si>
    <t xml:space="preserve">S005</t>
  </si>
  <si>
    <t xml:space="preserve">Feed empty state</t>
  </si>
  <si>
    <t xml:space="preserve">No items in locality, widen links</t>
  </si>
  <si>
    <t xml:space="preserve">H3 'No matches near you yet.' &gt; hint &gt; 'Widen to X' / 'Any Place in your state'</t>
  </si>
  <si>
    <t xml:space="preserve">• Links target '/?place=' and '/?widen=state' (FeedEmptyState.tsx:20,27) which redirect to /explore and lose the param</t>
  </si>
  <si>
    <t xml:space="preserve">src/components/feed/FeedEmptyState.tsx:3-31</t>
  </si>
  <si>
    <t xml:space="preserve">S006</t>
  </si>
  <si>
    <t xml:space="preserve">(unrouted) RecruitmentGrid</t>
  </si>
  <si>
    <t xml:space="preserve">Recruitment grid (orphaned)</t>
  </si>
  <si>
    <t xml:space="preserve">state</t>
  </si>
  <si>
    <t xml:space="preserve">browse/list+map</t>
  </si>
  <si>
    <t xml:space="preserve">'We're looking for makers in Sacramento' open-spot cards; only rendered by orphaned HomeFeed</t>
  </si>
  <si>
    <t xml:space="preserve">H2 'We're looking for makers in Sacramento' &gt; featured example card &gt; 'Open spots by category' bouncing chevron &gt; 10 category rows each a horizontal scroller of open-spot + example cards</t>
  </si>
  <si>
    <t xml:space="preserve">partial - md: featured card side-by-side; rows always horizontal scrollers</t>
  </si>
  <si>
    <t xml:space="preserve">• Hard-coded 'Sacramento' (RecruitmentGrid.tsx:84,165)
• Raw amber-*/neutral-* (RecruitmentGrid.tsx:100,103,123,127)
• Unreachable (only caller HomeFeed is unrouted)</t>
  </si>
  <si>
    <t xml:space="preserve">src/components/RecruitmentGrid.tsx:161-201</t>
  </si>
  <si>
    <t xml:space="preserve">S007</t>
  </si>
  <si>
    <t xml:space="preserve">/</t>
  </si>
  <si>
    <t xml:space="preserve">Root redirect</t>
  </si>
  <si>
    <t xml:space="preserve">redirect</t>
  </si>
  <si>
    <t xml:space="preserve">redirect/system</t>
  </si>
  <si>
    <t xml:space="preserve">Home is paused; always redirects to /explore</t>
  </si>
  <si>
    <t xml:space="preserve">redirect('/explore') - nothing renders</t>
  </si>
  <si>
    <t xml:space="preserve">n/a</t>
  </si>
  <si>
    <t xml:space="preserve">• TopNavDesktop logo links to '/' (BottomNav.tsx:135), costing a redirect hop on every logo click instead of linking /explore
• FeedEmptyState/ScopePicker still push '/?place=' and '/?widen=state' (FeedEmptyState.tsx:20,27; ScopePicker.tsx:27); the redirect drops those params</t>
  </si>
  <si>
    <t xml:space="preserve">src/app/page.tsx:17-19</t>
  </si>
  <si>
    <t xml:space="preserve">Verified: / redirects to /explore</t>
  </si>
  <si>
    <t xml:space="preserve">S008</t>
  </si>
  <si>
    <t xml:space="preserve">/explore</t>
  </si>
  <si>
    <t xml:space="preserve">Explore / Browse (signed out)</t>
  </si>
  <si>
    <t xml:space="preserve">signed out</t>
  </si>
  <si>
    <t xml:space="preserve">Discover Pages and announcements in the current metro; signed-out sees Pages plus withheld announcement cards</t>
  </si>
  <si>
    <t xml:space="preserve">Sticky search row (sticky y, top-0 / md:top-14): Area pill (opens ScopeSheet) | Search icon toggle | Filter icon w/ active dot &gt; 'Make this yours' banner (Sign in -&gt; /auth/login?next=/onboarding) &gt; sr-only live region &gt; Result count ('N results match "q"') &gt; CardGrid: first 4 result cards &gt; inline List/Map toggle (NOT sticky, scrolls away) &gt; remaining result cards (Page tiles + withheld announcement cards each with 'Sign up to see what's happening' CTA)</t>
  </si>
  <si>
    <t xml:space="preserve">yes - single/2-col auto-fill grid, sticky search row, bottom nav; padding-bottom reserves --nav-height</t>
  </si>
  <si>
    <t xml:space="preserve">partial - search row is mx-auto max-w-5xl (1024px) but results section and banner have NO max-width: CardGrid auto-fill minmax(min(100%,14rem),1fr) gives ~4 cols at 1024, ~5 at 1280, ~7+ at 1920, so results run wider than the search row above them; nothing side-by-side (map is a separate view, no list+map split at any width); top nav appears at md (768)</t>
  </si>
  <si>
    <t xml:space="preserve">md: (ExploreSearchBar md:top-14 md:px-6; BrowseSurface md:px-6 md:pb-24); sm: in ScopeSheet; no lg:/xl:</t>
  </si>
  <si>
    <t xml:space="preserve">• src/components/browse/BrowseSurface.tsx:184 MakeThisYoursBanner rendered as a bare child of &lt;main&gt; with no px wrapper or max-w, so the card sits edge-to-edge while every other section is px-3/md:px-6 inset
• Two different sign-up CTAs on the same screen for the same action with different verbs: banner 'Sign in' (MakeThisYoursBanner.tsx:17-19) vs each withheld card 'Sign up to see what's happening' (WithheldAnnouncementCard.tsx:84, lib/copy.ts:12) - both go to /auth/login; plus every withheld card is an accent-filled button, so N primaries in the grid
• List/Map toggle is not sticky and is injected after card 4 (src/components/browse/BrowseSurface.tsx:50,256-258); once scrolled past it there is no way to switch to Map without scrolling back. Comment says 4 'completes a row at both 2 and 4 columns' but CardGrid is auto-fill (CardGrid.tsx:48) so at 3/5/6 columns the toggle breaks a half-filled row
• ExploreSearchBar is max-w-5xl (ExploreSearchBar.tsx:64,120) while results below are unconstrained - misaligned edges above 1024px
• Raw neutral-* colours mixed with tokens: result count text-neutral-600 (BrowseSurface.tsx:211), area pill bg-neutral-100 (ExploreSearchBar.tsx:81), input border-neutral-300 (ExploreSearchBar.tsx:138)
• Inconsistent naming of the place concept: pill aria 'Area: X', sheet 'Choose your area', region 'Results in X', banner 'home locality' (MakeThisYoursBanner.tsx:14), metro elsewhere</t>
  </si>
  <si>
    <t xml:space="preserve">src/app/explore/page.tsx:20-33; src/app/explore/load.ts:56-148; src/components/browse/BrowseSurface.tsx:168-298; src/components/explore/ExploreSearchBar.tsx:59-152; src/components/feed/MakeThisYoursBanner.tsx; src/components/browse/BrowseResultCard.tsx; src/components/browse/WithheldAnnouncementCard.tsx; src/components/cards/CardGrid.tsx</t>
  </si>
  <si>
    <t xml:space="preserve">Verified 360–1920: no h1; sticky area bar (61px) under sticky desktop nav; "Make this yours" sign-in banner; "7 results in Sacramento-Roseville, CA" then "7 results" again; grid 1 col@360, 3@768, 4@1024, 5@1280–1440, 7@1920 while the search bar caps at 1024px; List/Map toggle sits 1769px down @390 and 586px down @1440, not sticky; area pill 32px tall (&lt;44)</t>
  </si>
  <si>
    <t xml:space="preserve">S009</t>
  </si>
  <si>
    <t xml:space="preserve">Explore (signed in) - Following row</t>
  </si>
  <si>
    <t xml:space="preserve">signed in, follower, member</t>
  </si>
  <si>
    <t xml:space="preserve">Signed-in variant: no banner, adds horizontally-scrolling 'Announcements from Pages you follow' row above results; announcements returned in full</t>
  </si>
  <si>
    <t xml:space="preserve">Sticky search row &gt; (no banner) &gt; 'Announcements from Pages you follow' heading + horizontal snap carousel of cards (only when non-empty) &gt; result count &gt; grid w/ inline List/Map toggle after card 4 &gt; rest of grid</t>
  </si>
  <si>
    <t xml:space="preserve">yes - carousel cards w-[min(78vw,20rem)]</t>
  </si>
  <si>
    <t xml:space="preserve">partial - carousel stays a single horizontal scroller at every width even when there is room for a grid; same unconstrained width as base page</t>
  </si>
  <si>
    <t xml:space="preserve">md: (FollowingRow md:-mx-6 md:px-6)</t>
  </si>
  <si>
    <t xml:space="preserve">• FollowingRow.tsx:45 horizontal scroller at all widths - on a 1440px screen a few 320px cards sit in a scroll strip with no scroll affordance/arrows
• Following row heading is text-sm (FollowingRow.tsx:40) while there is no heading at all for the main results - hierarchy is inverted / main list has no visible title
• Signed-in-with-no-follows sees no row and no hint that following is possible (FollowingRow.tsx:32 returns null)</t>
  </si>
  <si>
    <t xml:space="preserve">src/components/browse/BrowseSurface.tsx:183-193; src/components/browse/FollowingRow.tsx:33-58; src/app/explore/load.ts:85-87,186-205</t>
  </si>
  <si>
    <t xml:space="preserve">S010</t>
  </si>
  <si>
    <t xml:space="preserve">Explore search expanded</t>
  </si>
  <si>
    <t xml:space="preserve">Tapping search icon expands a full-width input row under the sticky bar</t>
  </si>
  <si>
    <t xml:space="preserve">Sticky row: Area pill | Search (aria-expanded) | Filters &gt; second sticky row: search input 'Search Pages and posts' with X (clears AND collapses)</t>
  </si>
  <si>
    <t xml:space="preserve">partial - input capped at max-w-5xl</t>
  </si>
  <si>
    <t xml:space="preserve">• Clear button (X) both clears the query and collapses the input (ExploreSearchBar.tsx:51-55,140-147) - no way to clear without losing the field
• Search toggle icon remains visible when expanded so there are two controls that collapse search (icon and X)</t>
  </si>
  <si>
    <t xml:space="preserve">src/components/explore/ExploreSearchBar.tsx:43,88-150</t>
  </si>
  <si>
    <t xml:space="preserve">S011</t>
  </si>
  <si>
    <t xml:space="preserve">Explore loading fallback</t>
  </si>
  <si>
    <t xml:space="preserve">Suspense fallback 'Loading…' while BrowseSurface (useSearchParams) suspends</t>
  </si>
  <si>
    <t xml:space="preserve">Plain 'Loading…' text, p-4</t>
  </si>
  <si>
    <t xml:space="preserve">yes (bare text)</t>
  </si>
  <si>
    <t xml:space="preserve">no - unstyled text top-left</t>
  </si>
  <si>
    <t xml:space="preserve">• No loading.tsx for /explore; page awaits loadBrowse() (page.tsx:26) BEFORE the Suspense boundary, so the server wait shows nothing and the fallback is effectively never seen; no skeleton</t>
  </si>
  <si>
    <t xml:space="preserve">src/app/explore/page.tsx:29</t>
  </si>
  <si>
    <t xml:space="preserve">S012</t>
  </si>
  <si>
    <t xml:space="preserve">Explore map view</t>
  </si>
  <si>
    <t xml:space="preserve">Mapbox map of grouped pins for current results</t>
  </si>
  <si>
    <t xml:space="preserve">Sticky search row &gt; banner/following row (still above) &gt; result-count NOT shown &gt; map h-[70vh] rounded &gt; List/Map toggle BELOW the map</t>
  </si>
  <si>
    <t xml:space="preserve">yes - 70vh map, toggle below</t>
  </si>
  <si>
    <t xml:space="preserve">partial - map stretches full viewport width (no max-w); no side list; same single-column at all widths</t>
  </si>
  <si>
    <t xml:space="preserve">md: (md:px-6)</t>
  </si>
  <si>
    <t xml:space="preserve">• Toggle position flips: in list view it is mid-grid after card 4, in map view it is under the map (src/components/browse/BrowseSurface.tsx:256-258 vs 276) - control jumps location between views
• View state is not in URL (src/components/browse/BrowseSurface.tsx:62-63) - back/refresh always returns to List
• No list+map side-by-side on wide screens despite lots of horizontal room
• Map view drops the result count, so the user loses '0 results' feedback when pins are empty</t>
  </si>
  <si>
    <t xml:space="preserve">src/components/browse/BrowseSurface.tsx:269-277; src/components/browse/BrowseMap.tsx:23-115</t>
  </si>
  <si>
    <t xml:space="preserve">S013</t>
  </si>
  <si>
    <t xml:space="preserve">Map pin popup</t>
  </si>
  <si>
    <t xml:space="preserve">Card overlay on map listing up to 3 results at a pin</t>
  </si>
  <si>
    <t xml:space="preserve">Pin name &gt; up to 3 lines (post body or description) &gt; 'N more here' &gt; 'Open Page' link | Close</t>
  </si>
  <si>
    <t xml:space="preserve">yes - absolute bottom-4 inset-x-4</t>
  </si>
  <si>
    <t xml:space="preserve">partial - stretches full map width (left-4 right-4) with no max width</t>
  </si>
  <si>
    <t xml:space="preserve">• Popup lists posts but only offers 'Open Page' - individual posts not linkable (BrowseMap.tsx:83-103)
• Raw border-neutral-200 (BrowseMap.tsx:77)
• Not a dialog, no Escape handling; pin markers are divs with click only (no keyboard access) BrowseMap.tsx:56-62</t>
  </si>
  <si>
    <t xml:space="preserve">src/components/browse/BrowseMap.tsx:74-113</t>
  </si>
  <si>
    <t xml:space="preserve">S014</t>
  </si>
  <si>
    <t xml:space="preserve">Metro not covered panel (signed out)</t>
  </si>
  <si>
    <t xml:space="preserve">form/wizard</t>
  </si>
  <si>
    <t xml:space="preserve">Explains SocialUs isn't in that metro, shows example cards, collects email for waitlist</t>
  </si>
  <si>
    <t xml:space="preserve">'← All areas' back link &gt; H2 'SocialUs isn't running in {metro} yet' + explainer &gt; ExampleBlock (dashed box, 4 fake cards) &gt; 'Tell us you're here' box: role radios &gt; email input &gt; purpose note &gt; 'Count me in' (btn-primary) &gt; 'Or sign in, if you already have an account' &gt; error</t>
  </si>
  <si>
    <t xml:space="preserve">yes - inside bottom sheet</t>
  </si>
  <si>
    <t xml:space="preserve">yes - inside sm+ centered max-w-md modal; ExampleBlock compact grid ~2 cols</t>
  </si>
  <si>
    <t xml:space="preserve">sm: (inherited from ScopeSheet)</t>
  </si>
  <si>
    <t xml:space="preserve">• Long form + 4-card example grid crammed in a max-h-[75vh] sheet (ScopeSheet.tsx:101) - the primary 'Count me in' is below the fold on phones
• Example block comes BEFORE the action; order puts decoration between the question and the form</t>
  </si>
  <si>
    <t xml:space="preserve">src/components/explore/MetroNotCoveredPanel.tsx:161-259 (signed-out branch 193-235); src/components/cards/ExampleBlock.tsx</t>
  </si>
  <si>
    <t xml:space="preserve">S015</t>
  </si>
  <si>
    <t xml:space="preserve">Metro not covered panel (signed in)</t>
  </si>
  <si>
    <t xml:space="preserve">signed in</t>
  </si>
  <si>
    <t xml:space="preserve">Signed-in variant: role radios + 'Count me in' only (no email); joined confirmation</t>
  </si>
  <si>
    <t xml:space="preserve">'← All areas' &gt; heading + explainer &gt; ExampleBlock &gt; 'Tell us you're here': role radios &gt; 'Count me in' &gt; (after) 'Done — you're counted in {metro}.'</t>
  </si>
  <si>
    <t xml:space="preserve">yes - in modal</t>
  </si>
  <si>
    <t xml:space="preserve">• After joining, no CTA back to browsing - only the small '← All areas' link (MetroNotCoveredPanel.tsx:164-170)</t>
  </si>
  <si>
    <t xml:space="preserve">src/components/explore/MetroNotCoveredPanel.tsx:236-240,89-102</t>
  </si>
  <si>
    <t xml:space="preserve">S016</t>
  </si>
  <si>
    <t xml:space="preserve">Filter sheet</t>
  </si>
  <si>
    <t xml:space="preserve">sheet</t>
  </si>
  <si>
    <t xml:space="preserve">Schedule radio pills + tag checkboxes, committed on 'Show results'</t>
  </si>
  <si>
    <t xml:space="preserve">Header: X close | 'Filters' | 'Clear all' (when draft active, commits immediately) &gt; Schedule group (pill radios) &gt; Tags group (only if tags exist) &gt; Footer: 'Show results' full-width</t>
  </si>
  <si>
    <t xml:space="preserve">yes - bottom sheet max-h-70vh, safe-area padding</t>
  </si>
  <si>
    <t xml:space="preserve">yes - md+ becomes floating panel right-4 top-28 w-96</t>
  </si>
  <si>
    <t xml:space="preserve">• 'Clear all' commits and closes immediately (ExploreFilterSheet.tsx:144-147) while every other change is a draft - inconsistent commit model
• Footer button says 'Show results' with no count
• Sheet breakpoint is md: while ScopeSheet on same screen switches at sm: (ScopeSheet.tsx:97,101) - the two overlays change shape at different widths</t>
  </si>
  <si>
    <t xml:space="preserve">src/components/explore/ExploreFilterSheet.tsx:112-211</t>
  </si>
  <si>
    <t xml:space="preserve">S017</t>
  </si>
  <si>
    <t xml:space="preserve">Scope sheet - Choose your area</t>
  </si>
  <si>
    <t xml:space="preserve">Pick which metro Explore shows; uncovered metros open MetroNotCoveredPanel</t>
  </si>
  <si>
    <t xml:space="preserve">Title 'Choose your area' &gt; search input 'Search areas' &gt; 'Where SocialUs is running' list (current marked 'Showing') &gt; 'Not covered yet' heading + explainer &gt; up to 40 not-yet rows 'Not yet →' &gt; 'N more — search to narrow'</t>
  </si>
  <si>
    <t xml:space="preserve">yes - bottom sheet max-h-75vh scrolls</t>
  </si>
  <si>
    <t xml:space="preserve">yes - sm+ centered modal max-w-md</t>
  </si>
  <si>
    <t xml:space="preserve">• No visible close button; only an invisible full-screen backdrop &lt;button aria-label='Close'&gt; (ScopeSheet.tsx:98) - no Escape key, no focus trap, no body scroll lock, unlike ExploreFilterSheet
• Stale comment says not-covered rows are 'not tappable' (ScopeSheet.tsx:129-130) but they are buttons (81-93); explainer copy 'you can't browse them yet' sits above tappable rows
• Raw text-neutral-500 headings (ScopeSheet.tsx:120,131)
• Uses sm: breakpoint while sibling filter sheet uses md:</t>
  </si>
  <si>
    <t xml:space="preserve">src/components/explore/ScopeSheet.tsx:96-152</t>
  </si>
  <si>
    <t xml:space="preserve">S018</t>
  </si>
  <si>
    <t xml:space="preserve">Metro standing dialog</t>
  </si>
  <si>
    <t xml:space="preserve">modal</t>
  </si>
  <si>
    <t xml:space="preserve">dashboard/manage</t>
  </si>
  <si>
    <t xml:space="preserve">After waitlist join, shows count 'N of target' and message</t>
  </si>
  <si>
    <t xml:space="preserve">Title (metro name) &gt; big count 'N of T' (if known) &gt; message &gt; 'Got it' button</t>
  </si>
  <si>
    <t xml:space="preserve">yes - fixed inset-x-4 centered</t>
  </si>
  <si>
    <t xml:space="preserve">yes - md: w-96 centered</t>
  </si>
  <si>
    <t xml:space="preserve">• Modal stacked on top of the ScopeSheet modal (z-50 over z-50) - two modals deep
• Raw text-neutral-600 (MetroStandingDialog.tsx:76,80)
• Escape handler only on dialog onKeyDown; no focus trap</t>
  </si>
  <si>
    <t xml:space="preserve">src/components/metro/MetroStandingDialog.tsx:50-92</t>
  </si>
  <si>
    <t xml:space="preserve">S019</t>
  </si>
  <si>
    <t xml:space="preserve">Explore - no area resolvable</t>
  </si>
  <si>
    <t xml:space="preserve">When no metro can be resolved, all controls are hidden and a card asks to choose an area</t>
  </si>
  <si>
    <t xml:space="preserve">Card: 'We don't know which area to show you yet.' &gt; 'Choose your area' underline button (opens ScopeSheet)</t>
  </si>
  <si>
    <t xml:space="preserve">partial - mx-auto max-w-xl centered card</t>
  </si>
  <si>
    <t xml:space="preserve">md: (md:px-6 md:pb-24)</t>
  </si>
  <si>
    <t xml:space="preserve">• Search bar, filters and banner are removed entirely in this state, so the only header is the global nav; the area control moves from top pill to a body link - inconsistent location for the same control</t>
  </si>
  <si>
    <t xml:space="preserve">src/components/browse/BrowseSurface.tsx:140-166; src/app/explore/load.ts:79-81</t>
  </si>
  <si>
    <t xml:space="preserve">S020</t>
  </si>
  <si>
    <t xml:space="preserve">Explore - no results</t>
  </si>
  <si>
    <t xml:space="preserve">Search/filters/metro yield nothing</t>
  </si>
  <si>
    <t xml:space="preserve">Result count '0 results' &gt; 'Nothing here yet — try another filter' &gt; 'Clear filters' (underline) &gt; 'Or look at another area' (muted underline, opens ScopeSheet) &gt; List/Map toggle</t>
  </si>
  <si>
    <t xml:space="preserve">partial - text centered in unconstrained section</t>
  </si>
  <si>
    <t xml:space="preserve">• 'Clear filters' shown even when no filters/query are active (no hasBrowseFilters/query check at src/components/browse/BrowseSurface.tsx:228-234) - for an empty metro it is a no-op
• Copy mismatch: empty says 'try another filter' but filters live behind an icon with no label</t>
  </si>
  <si>
    <t xml:space="preserve">src/components/browse/BrowseSurface.tsx:220-247,267</t>
  </si>
  <si>
    <t xml:space="preserve">S021</t>
  </si>
  <si>
    <t xml:space="preserve">Explore - load error</t>
  </si>
  <si>
    <t xml:space="preserve">Feed RPC failed or metro switch action failed</t>
  </si>
  <si>
    <t xml:space="preserve">Sticky search row &gt; result count '0 results' &gt; 'We couldn't load {metro} just now. Try again in a moment.' &gt; List/Map toggle</t>
  </si>
  <si>
    <t xml:space="preserve">partial - same unconstrained width</t>
  </si>
  <si>
    <t xml:space="preserve">• No retry button - message says 'Try again' but offers no control (src/components/browse/BrowseSurface.tsx:217-219); dead end other than reload
• Result count '0 results' still renders above the error (src/components/browse/BrowseSurface.tsx:211-214), contradicting it
• List/Map toggle still renders under the error (src/components/browse/BrowseSurface.tsx:267)</t>
  </si>
  <si>
    <t xml:space="preserve">src/components/browse/BrowseSurface.tsx:216-219; src/app/explore/load.ts:131-146; src/components/browse/BrowseSurface.tsx:85-92</t>
  </si>
  <si>
    <t xml:space="preserve">S022</t>
  </si>
  <si>
    <t xml:space="preserve">/following</t>
  </si>
  <si>
    <t xml:space="preserve">Following (legacy vendors list)</t>
  </si>
  <si>
    <t xml:space="preserve">Lists vendors the user follows with next market date</t>
  </si>
  <si>
    <t xml:space="preserve">H1 'Following' &gt; list rows: thumbnail (links /vendors/slug) | name, tagline, 'Next: market · date' | Follow/Following pill</t>
  </si>
  <si>
    <t xml:space="preserve">partial - max-w-3xl centered single column</t>
  </si>
  <si>
    <t xml:space="preserve">• UNREACHABLE: next.config.ts:9 redirects /following -&gt; /you/following before this page renders (verified in prod); file is dead code reading retired tables and linking to /vendors/* (no route)
• Reads legacy 'follows'/'businesses'/'markets' tables (src/app/following/page.tsx:40-55) that HomeFeed.tsx:82-85 states do not exist - page is effectively always empty
• Links to /vendors/{slug} (src/app/following/page.tsx:130,140) but there is no app/vendors route - 404 dead ends
• Duplicates /you/following (src/app/you/following exists); BottomNav maps /following to the You tab (BottomNav.tsx:14) but nothing links here
• Vendor/market vocabulary ('vendors', 'market') conflicts with Page/announcement vocabulary used on Explore
• Raw neutral-*/amber-100 colours (src/app/following/page.tsx:128,131,151)</t>
  </si>
  <si>
    <t xml:space="preserve">src/app/following/page.tsx:25-163; src/components/FollowButton.tsx</t>
  </si>
  <si>
    <t xml:space="preserve">S023</t>
  </si>
  <si>
    <t xml:space="preserve">Following - signed out</t>
  </si>
  <si>
    <t xml:space="preserve">auth</t>
  </si>
  <si>
    <t xml:space="preserve">Gate asking to sign in</t>
  </si>
  <si>
    <t xml:space="preserve">H1 'Following' &gt; 'Sign up to follow vendors…' &gt; 'Sign in' button</t>
  </si>
  <si>
    <t xml:space="preserve">partial - max-w-md centered</t>
  </si>
  <si>
    <t xml:space="preserve">• UNREACHABLE: next.config.ts:9 redirects /following -&gt; /you/following before this page renders (verified in prod); file is dead code reading retired tables and linking to /vendors/* (no route)
• Body says 'Sign up' but button says 'Sign in' (src/app/following/page.tsx:90,95)
• Button uses rounded-md accent (not btn-primary) - inconsistent primary style (src/app/following/page.tsx:93)</t>
  </si>
  <si>
    <t xml:space="preserve">src/app/following/page.tsx:86-99</t>
  </si>
  <si>
    <t xml:space="preserve">S024</t>
  </si>
  <si>
    <t xml:space="preserve">Following - loading</t>
  </si>
  <si>
    <t xml:space="preserve">Client fetch in progress</t>
  </si>
  <si>
    <t xml:space="preserve">H1 &gt; 'Loading…' text</t>
  </si>
  <si>
    <t xml:space="preserve">• UNREACHABLE: next.config.ts:9 redirects /following -&gt; /you/following before this page renders (verified in prod); file is dead code reading retired tables and linking to /vendors/* (no route)
• Before auth resolves (authed===null) the signed-in shell renders, then may flip to the signed-out gate - layout flash (src/app/following/page.tsx:28,86)</t>
  </si>
  <si>
    <t xml:space="preserve">src/app/following/page.tsx:107</t>
  </si>
  <si>
    <t xml:space="preserve">S025</t>
  </si>
  <si>
    <t xml:space="preserve">Follow toast</t>
  </si>
  <si>
    <t xml:space="preserve">Transient 'Following X' / error toast</t>
  </si>
  <si>
    <t xml:space="preserve">Fixed pill bottom-20 centered</t>
  </si>
  <si>
    <t xml:space="preserve">• Toast uses raw bg-zinc-800 (Toast.tsx:24) while ReportControl confirmation uses charcoal token - two toast styles</t>
  </si>
  <si>
    <t xml:space="preserve">src/components/FollowButton.tsx:103; src/components/Toast.tsx:24</t>
  </si>
  <si>
    <t xml:space="preserve">S026</t>
  </si>
  <si>
    <t xml:space="preserve">Auth gate modal (Follow)</t>
  </si>
  <si>
    <t xml:space="preserve">Sign-up prompt when a signed-out user taps Follow</t>
  </si>
  <si>
    <t xml:space="preserve">X close &gt; H3 headline 'Sign up to follow {vendor}' &gt; subtext &gt; 'Sign in' btn-primary &gt; 'We email you a link — no password' &gt; divider &gt; 'Are you a business owner? List your business →' (/join)</t>
  </si>
  <si>
    <t xml:space="preserve">yes - bottom aligned</t>
  </si>
  <si>
    <t xml:space="preserve">yes - md: centered max-w-sm</t>
  </si>
  <si>
    <t xml:space="preserve">• Effectively unreachable: its only caller FollowButton renders only inside signed-in /following rows (following/page.tsx:86-99 returns the gate first)
• Headline says 'Sign up' but button says 'Sign in' (AuthGateModal.tsx:41,49)
• No role=dialog/aria-modal (AuthGateModal.tsx:23-28) so NavVisibilityProvider does not treat it as an overlay
• 'no password' contradicts /join step 1 'Email and password' (join/page.tsx:102)</t>
  </si>
  <si>
    <t xml:space="preserve">src/components/AuthGateModal.tsx:17-63; src/components/FollowButton.tsx:46-49,105-111</t>
  </si>
  <si>
    <t xml:space="preserve">S027</t>
  </si>
  <si>
    <t xml:space="preserve">Following - empty</t>
  </si>
  <si>
    <t xml:space="preserve">No follows</t>
  </si>
  <si>
    <t xml:space="preserve">H1 &gt; 'You're not following anyone yet.' &gt; 'Browse vendors' link -&gt; /explore</t>
  </si>
  <si>
    <t xml:space="preserve">partial - max-w-3xl</t>
  </si>
  <si>
    <t xml:space="preserve">• UNREACHABLE: next.config.ts:9 redirects /following -&gt; /you/following before this page renders (verified in prod); file is dead code reading retired tables and linking to /vendors/* (no route)
• Empty &lt;ul&gt; still rendered beneath (src/app/following/page.tsx:118)</t>
  </si>
  <si>
    <t xml:space="preserve">src/app/following/page.tsx:109-116</t>
  </si>
  <si>
    <t xml:space="preserve">S028</t>
  </si>
  <si>
    <t xml:space="preserve">/g/[handle]</t>
  </si>
  <si>
    <t xml:space="preserve">Page (signed out)</t>
  </si>
  <si>
    <t xml:space="preserve">detail</t>
  </si>
  <si>
    <t xml:space="preserve">Public Page for a business/group; signed-out gets withheld announcement summary</t>
  </si>
  <si>
    <t xml:space="preserve">Header row: H1 name | badge | ⋯ (Report -&gt; sign-in link) &gt; founder &gt; placement &gt; description &gt; social links &gt; 'Sign in to follow' (btn-primary) &gt; Announcements: withheld card ('N announcements this week', details-for-members copy, 'Sign up to see what's happening' accent button) &gt; 'Products &amp; services' plain-text rows</t>
  </si>
  <si>
    <t xml:space="preserve">partial - max-w-3xl centered single column; no responsive prefixes in the page body</t>
  </si>
  <si>
    <t xml:space="preserve">none in page body (overlays use md:)</t>
  </si>
  <si>
    <t xml:space="preserve">• Two competing primaries for the same sign-in: 'Sign in to follow' btn-primary (src/components/group/ShopPublicPage.tsx:215, FollowPageButton.tsx:44) and 'Sign up to see what's happening' accent button (WithheldPagePosts.tsx:60) - different verbs, same /auth/login
• The Page photo is never rendered: photoUrl is computed (src/components/group/ShopPublicPage.tsx:69-76) but only used for the owner hidden-photo notice - visitors see no image
• Products &amp; services rows are plain text, not links (src/components/group/ShopPublicPage.tsx:276-278) - dead ends; item detail pages unreachable from their Page
• Report (⋯) sits in the title row before Follow (src/components/group/ShopPublicPage.tsx:117) - a moderation control is more prominent than the main action
• Raw gray-* colours (src/components/group/ShopPublicPage.tsx:152,167,182,188,265,267)
• Terminology: component/empty copy says 'Shop' ('This Shop', ShopPublicPage.tsx:269) while the product calls it a Page</t>
  </si>
  <si>
    <t xml:space="preserve">src/app/g/[handle]/page.tsx:39-65; src/components/group/ShopPublicPage.tsx:58-285; src/components/group/WithheldPagePosts.tsx:28-69; src/components/group/FollowPageButton.tsx:41-48</t>
  </si>
  <si>
    <t xml:space="preserve">Verified 390/1440/1920 (The Good Loaf, Folsom Lake Floaters): 768px column at every width (40% of 1920); "Sign in to follow"; Products &amp; services are plain text (no item links in HTML)</t>
  </si>
  <si>
    <t xml:space="preserve">S029</t>
  </si>
  <si>
    <t xml:space="preserve">Page (signed in, not following)</t>
  </si>
  <si>
    <t xml:space="preserve">Signed-in visitor: Follow button; full announcements list (RLS decides which are visible)</t>
  </si>
  <si>
    <t xml:space="preserve">Header row: H1 Page name | local-owner badge | ⋯ overflow (ml-auto) &gt; founder (avatar+name, links /m/ only if published) &gt; placement label &gt; description &gt; social links &gt; Follow button &gt; Announcements &gt; 'Products &amp; services' list (Follow btn-primary) &gt; Announcements list: body, when·where, Add to calendar, posted date (hidden entirely if none visible)</t>
  </si>
  <si>
    <t xml:space="preserve">• Announcements section disappears entirely when empty for visitors (PagePosts.tsx:133) so section order shifts between Pages
• Which follower-only posts a signed-in non-follower sees is decided by RLS - unclear from code whether a 'followers only' hint is shown (none found in PagePosts)
• Raw text-gray-500 post date (PagePosts.tsx:409)</t>
  </si>
  <si>
    <t xml:space="preserve">src/components/group/ShopPublicPage.tsx:215-258; src/components/group/PagePosts.tsx:133,270-434</t>
  </si>
  <si>
    <t xml:space="preserve">S030</t>
  </si>
  <si>
    <t xml:space="preserve">Page (follower)</t>
  </si>
  <si>
    <t xml:space="preserve">follower</t>
  </si>
  <si>
    <t xml:space="preserve">Viewer follows: 'Following' outline button; toggles to unfollow on tap</t>
  </si>
  <si>
    <t xml:space="preserve">Header row: H1 Page name | local-owner badge | ⋯ overflow (ml-auto) &gt; founder (avatar+name, links /m/ only if published) &gt; placement label &gt; description &gt; social links &gt; Follow button &gt; Announcements &gt; 'Products &amp; services' list ('Following' outline button) &gt; Announcements (incl. follower-audience posts per RLS)</t>
  </si>
  <si>
    <t xml:space="preserve">• Tapping 'Following' unfollows immediately with no confirm (FollowPageButton.tsx:49-57)</t>
  </si>
  <si>
    <t xml:space="preserve">src/components/group/ShopPublicPage.tsx:215-223; src/components/group/FollowPageButton.tsx:65-79</t>
  </si>
  <si>
    <t xml:space="preserve">S031</t>
  </si>
  <si>
    <t xml:space="preserve">Page (member, private Page)</t>
  </si>
  <si>
    <t xml:space="preserve">member</t>
  </si>
  <si>
    <t xml:space="preserve">Private-discoverability Page: button reads Join/Joined</t>
  </si>
  <si>
    <t xml:space="preserve">Header row: H1 Page name | local-owner badge | ⋯ overflow (ml-auto) &gt; founder (avatar+name, links /m/ only if published) &gt; placement label &gt; description &gt; social links &gt; Follow button &gt; Announcements &gt; 'Products &amp; services' list ('Join' / 'Joined' button; signed-out 'Sign in to join')</t>
  </si>
  <si>
    <t xml:space="preserve">• Same control is 'Follow' or 'Join' depending on discoverability (FollowPageButton.tsx:37-38) with no explanation of the difference</t>
  </si>
  <si>
    <t xml:space="preserve">src/components/group/FollowPageButton.tsx:37-38</t>
  </si>
  <si>
    <t xml:space="preserve">S032</t>
  </si>
  <si>
    <t xml:space="preserve">Report sent confirmation</t>
  </si>
  <si>
    <t xml:space="preserve">Fixed bottom toast after report</t>
  </si>
  <si>
    <t xml:space="preserve">Charcoal pill: thank-you text + 'Dismiss'</t>
  </si>
  <si>
    <t xml:space="preserve">yes - fixed bottom-20 above nav</t>
  </si>
  <si>
    <t xml:space="preserve">yes - md: centered w-96</t>
  </si>
  <si>
    <t xml:space="preserve">• Does not auto-dismiss; differs from Toast.tsx style (zinc-800, auto-hide)</t>
  </si>
  <si>
    <t xml:space="preserve">src/components/group/ReportControl.tsx:83-101</t>
  </si>
  <si>
    <t xml:space="preserve">S033</t>
  </si>
  <si>
    <t xml:space="preserve">g/[handle] owner view — see owner-page-spec.md</t>
  </si>
  <si>
    <t xml:space="preserve">owner</t>
  </si>
  <si>
    <t xml:space="preserve">Documented elsewhere</t>
  </si>
  <si>
    <t xml:space="preserve">see owner-page-spec.md</t>
  </si>
  <si>
    <t xml:space="preserve">src/components/group/ShopPublicPage.tsx</t>
  </si>
  <si>
    <t xml:space="preserve">S034</t>
  </si>
  <si>
    <t xml:space="preserve">Page overflow menu</t>
  </si>
  <si>
    <t xml:space="preserve">drawer</t>
  </si>
  <si>
    <t xml:space="preserve">signed out, signed in, follower, member</t>
  </si>
  <si>
    <t xml:space="preserve">⋯ dropdown with single item 'Report to the operator'</t>
  </si>
  <si>
    <t xml:space="preserve">Menu (absolute right-0): 'Report to the operator' (signed out: link to sign-in)</t>
  </si>
  <si>
    <t xml:space="preserve">• A menu with exactly one item - extra tap for a single action
• 'operator' is internal vocabulary in a user-facing label (ReportControl.tsx:61)</t>
  </si>
  <si>
    <t xml:space="preserve">src/components/group/PageOverflowMenu.tsx:47-100; src/components/group/ReportControl.tsx:57-64</t>
  </si>
  <si>
    <t xml:space="preserve">S035</t>
  </si>
  <si>
    <t xml:space="preserve">Report sheet</t>
  </si>
  <si>
    <t xml:space="preserve">Free-text report to a person</t>
  </si>
  <si>
    <t xml:space="preserve">Header: X | 'Report {Page}' &gt; 'This goes to a person, not a queue.' &gt; 'What's wrong?' textarea &gt; error &gt; footer 'Send'</t>
  </si>
  <si>
    <t xml:space="preserve">yes - bottom sheet</t>
  </si>
  <si>
    <t xml:space="preserve">yes - md: centered w-[28rem] top-24</t>
  </si>
  <si>
    <t xml:space="preserve">• Close X on the left and title next to it - same pattern as filter sheet, but ScopeSheet has no X at all (inconsistent sheet chrome)</t>
  </si>
  <si>
    <t xml:space="preserve">src/components/group/ReportSheet.tsx:85-174</t>
  </si>
  <si>
    <t xml:space="preserve">S036</t>
  </si>
  <si>
    <t xml:space="preserve">Page - nothing listed</t>
  </si>
  <si>
    <t xml:space="preserve">Page has no items</t>
  </si>
  <si>
    <t xml:space="preserve">'Products &amp; services' &gt; dashed box 'Nothing listed yet' + '{founder} hasn't listed anything yet — check back soon.'</t>
  </si>
  <si>
    <t xml:space="preserve">• Empty items section always shown to visitors while empty Announcements is hidden (PagePosts.tsx:133) - inconsistent empty-section policy
• Raw gray-* (src/components/group/ShopPublicPage.tsx:265,267)</t>
  </si>
  <si>
    <t xml:space="preserve">src/components/group/ShopPublicPage.tsx:262-273</t>
  </si>
  <si>
    <t xml:space="preserve">S037</t>
  </si>
  <si>
    <t xml:space="preserve">Page not found</t>
  </si>
  <si>
    <t xml:space="preserve">Unknown/draft (non-owner) handle -&gt; notFound()</t>
  </si>
  <si>
    <t xml:space="preserve">Next default 404</t>
  </si>
  <si>
    <t xml:space="preserve">• Default Next 404</t>
  </si>
  <si>
    <t xml:space="preserve">src/app/g/[handle]/page.tsx:43-44</t>
  </si>
  <si>
    <t xml:space="preserve">Verified /g/nope-123: default 404</t>
  </si>
  <si>
    <t xml:space="preserve">S038</t>
  </si>
  <si>
    <t xml:space="preserve">Page stale-handle redirect</t>
  </si>
  <si>
    <t xml:space="preserve">Non-canonical handle 308s to canonical /g/&lt;slug&gt;-&lt;id&gt;</t>
  </si>
  <si>
    <t xml:space="preserve">permanentRedirect(found.redirectTo)</t>
  </si>
  <si>
    <t xml:space="preserve">src/app/g/[handle]/page.tsx:43-45</t>
  </si>
  <si>
    <t xml:space="preserve">S039</t>
  </si>
  <si>
    <t xml:space="preserve">/join</t>
  </si>
  <si>
    <t xml:space="preserve">Join - vendor pitch (signed out)</t>
  </si>
  <si>
    <t xml:space="preserve">Marketing page recruiting farmers-market vendors</t>
  </si>
  <si>
    <t xml:space="preserve">Hero: eyebrow 'For vendors' &gt; H1 'Sell at a farmers market? Get listed.' &gt; lede &gt; CTAs: 'Sign up as a vendor →' (primary) + 'Already a member? Log in' (secondary) &gt; Why: 3 benefit cards &gt; How it works: 4 numbered steps &gt; 'Start my listing →' &gt; Share with another vendor: URL + 'Copy link'</t>
  </si>
  <si>
    <t xml:space="preserve">yes - stacked, CTAs column</t>
  </si>
  <si>
    <t xml:space="preserve">partial - max-w-3xl centered; benefits md:grid-cols-3; CTAs sm:flex-row; no side-by-side layout beyond that</t>
  </si>
  <si>
    <t xml:space="preserve">sm:, md:</t>
  </si>
  <si>
    <t xml:space="preserve">• Both hero CTAs go to the identical URL for signed-out users (src/app/join/page.tsx:40,64,71) - 'Sign up' and 'Log in' are the same action
• Three differently-worded primaries for one action on one page: 'Sign up as a vendor →', 'Start my listing →', (signed-in) 'List my booth →' (src/app/join/page.tsx:67,125)
• Step 1 claims 'Email and password' (src/app/join/page.tsx:102) while AuthGateModal says no password / magic link
• Vendor/farmers-market framing and claims 'in the feed, the map, searchable by product' (src/app/join/page.tsx:53-56,111) describe the retired vendor model, not Pages
• Not reachable from main nav; only linked from orphaned RecruitmentGrid and unreachable AuthGateModal
• Raw neutral-* everywhere (src/app/join/page.tsx:54,57,72,81,...)</t>
  </si>
  <si>
    <t xml:space="preserve">src/app/join/page.tsx:24-156</t>
  </si>
  <si>
    <t xml:space="preserve">Verified 390/1440: column 768px at all widths (53% of 1440); "Sign up as a vendor" and "Already a member? Log in" both go to /auth/login; copy says "vendor"</t>
  </si>
  <si>
    <t xml:space="preserve">S040</t>
  </si>
  <si>
    <t xml:space="preserve">Join - signed in</t>
  </si>
  <si>
    <t xml:space="preserve">Signed-in variant: CTAs read 'List my booth →' and go to /you; secondary hidden</t>
  </si>
  <si>
    <t xml:space="preserve">Same as signed-out, single CTA 'List my booth →' x2</t>
  </si>
  <si>
    <t xml:space="preserve">• authed starts null so signed-out labels render first then swap (src/app/join/page.tsx:27,40,67) - CTA text flash</t>
  </si>
  <si>
    <t xml:space="preserve">src/app/join/page.tsx:40,67-76,125</t>
  </si>
  <si>
    <t xml:space="preserve">S041</t>
  </si>
  <si>
    <t xml:space="preserve">/m/[handle]</t>
  </si>
  <si>
    <t xml:space="preserve">Member profile (visitor)</t>
  </si>
  <si>
    <t xml:space="preserve">signed out, signed in, follower</t>
  </si>
  <si>
    <t xml:space="preserve">Public profile of a person: identity, follow, their items, groups</t>
  </si>
  <si>
    <t xml:space="preserve">Header: avatar | name, @handle · pronouns &gt; bio &gt; Follow / Following (signed-out Follow is a link to /auth/login) &gt; 'Posts' list (title + kind label, brand) &gt; 'Groups' chips</t>
  </si>
  <si>
    <t xml:space="preserve">• 'Groups' chips are plain spans, not links (src/components/member/MemberPublicPage.tsx:102) - dead end to the member's Pages
• Section titled 'Posts' lists Items (product/service/gathering) (src/components/member/MemberPublicPage.tsx:71) while elsewhere 'posts' means Page announcements
• 'Groups' vs 'Pages' terminology clash (src/components/member/MemberPublicPage.tsx:98)
• Raw gray-* throughout (src/components/member/MemberPublicPage.tsx:38,41,48,75,84,85,88); FollowMemberButton error text-red-600 (FollowMemberButton.tsx:78)
• Signed-out Follow is styled as the primary button but is a sign-in link with no indication (FollowMemberButton.tsx:36-43)
• No responsive prefixes at all</t>
  </si>
  <si>
    <t xml:space="preserve">src/app/m/[handle]/page.tsx:45-74; src/components/member/MemberPublicPage.tsx:18-110; src/components/member/FollowMemberButton.tsx</t>
  </si>
  <si>
    <t xml:space="preserve">S042</t>
  </si>
  <si>
    <t xml:space="preserve">Member profile - self view</t>
  </si>
  <si>
    <t xml:space="preserve">Viewer is the member: 'Edit profile' instead of Follow</t>
  </si>
  <si>
    <t xml:space="preserve">Same as visitor with 'Edit profile' (btn-secondary -&gt; /you)</t>
  </si>
  <si>
    <t xml:space="preserve">• 'Edit profile' goes to /you, not a profile editor (src/components/member/MemberPublicPage.tsx:54)</t>
  </si>
  <si>
    <t xml:space="preserve">src/components/member/MemberPublicPage.tsx:52-58</t>
  </si>
  <si>
    <t xml:space="preserve">S043</t>
  </si>
  <si>
    <t xml:space="preserve">Member profile - nothing posted</t>
  </si>
  <si>
    <t xml:space="preserve">Member has no items</t>
  </si>
  <si>
    <t xml:space="preserve">Dashed box 'Nothing posted yet.'</t>
  </si>
  <si>
    <t xml:space="preserve">• Raw border-gray-300 text-gray-500 (src/components/member/MemberPublicPage.tsx:75)</t>
  </si>
  <si>
    <t xml:space="preserve">src/components/member/MemberPublicPage.tsx:72-77</t>
  </si>
  <si>
    <t xml:space="preserve">S044</t>
  </si>
  <si>
    <t xml:space="preserve">Private profile tombstone</t>
  </si>
  <si>
    <t xml:space="preserve">Signed-in viewer hits a private member</t>
  </si>
  <si>
    <t xml:space="preserve">H1 'This member's profile is private.' &gt; explainer</t>
  </si>
  <si>
    <t xml:space="preserve">• Dead end: no link back/onwards (page.tsx:63-70)
• Raw neutral-* (page.tsx:65-66)</t>
  </si>
  <si>
    <t xml:space="preserve">src/app/m/[handle]/page.tsx:62-71</t>
  </si>
  <si>
    <t xml:space="preserve">S045</t>
  </si>
  <si>
    <t xml:space="preserve">Member not found</t>
  </si>
  <si>
    <t xml:space="preserve">Unknown or non-public member -&gt; notFound()</t>
  </si>
  <si>
    <t xml:space="preserve">Next.js default 404 (no not-found.tsx in app/)</t>
  </si>
  <si>
    <t xml:space="preserve">• No custom not-found.tsx anywhere in src/app - default unstyled Next 404</t>
  </si>
  <si>
    <t xml:space="preserve">src/app/m/[handle]/page.tsx:58-60</t>
  </si>
  <si>
    <t xml:space="preserve">Verified /m/nope: default 404</t>
  </si>
  <si>
    <t xml:space="preserve">S046</t>
  </si>
  <si>
    <t xml:space="preserve">/m/[handle]/e/[slug]</t>
  </si>
  <si>
    <t xml:space="preserve">Member-hosted gathering</t>
  </si>
  <si>
    <t xml:space="preserve">Event/gathering detail hosted by an individual</t>
  </si>
  <si>
    <t xml:space="preserve">H1 title &gt; (no 'Hosted by' - groupHref null) &gt; next occurrence + recurrence &gt; description &gt; 'Where' box &gt; Cost / Capacity dl (2 cols) &gt; What to bring &gt; 'Share link' (btn-secondary) + 'Add to calendar'</t>
  </si>
  <si>
    <t xml:space="preserve">partial - max-w-2xl centered single column; no media/side column at any width</t>
  </si>
  <si>
    <t xml:space="preserve">none (Gathering dl is fixed grid-cols-2)</t>
  </si>
  <si>
    <t xml:space="preserve">• No attribution/back-link to the member for member-hosted items: groupHref=null and the component only renders attribution for kind 'group' - dead end with no way to reach /m/[handle]
• No primary action at all (no contact/buy/RSVP/follow) - detail page ends with nothing to do
• Null price/cost renders 'Free' (ProductPublicPage.tsx:22, ServicePublicPage.tsx:26, GatheringPublicPage.tsx:28) - 'not set' and 'free' are indistinguishable
• Raw border-neutral-200 on info boxes</t>
  </si>
  <si>
    <t xml:space="preserve">src/app/m/[handle]/e/[slug]/page.tsx:42-57; src/components/item/GatheringPublicPage.tsx:40-155</t>
  </si>
  <si>
    <t xml:space="preserve">S047</t>
  </si>
  <si>
    <t xml:space="preserve">/m/[handle]/p/[slug]</t>
  </si>
  <si>
    <t xml:space="preserve">Member product</t>
  </si>
  <si>
    <t xml:space="preserve">Product detail sold by an individual</t>
  </si>
  <si>
    <t xml:space="preserve">Photo (first only) &gt; H1 title &gt; price &gt; (no 'Sold by') &gt; 'Locally Made' badge &gt; description &gt; 'Pickup point' box</t>
  </si>
  <si>
    <t xml:space="preserve">• No attribution/back-link to the member for member-hosted items: groupHref=null and the component only renders attribution for kind 'group' - dead end with no way to reach /m/[handle]
• No primary action at all (no contact/buy/RSVP/follow) - detail page ends with nothing to do; no Share button either, unlike GatheringPublicPage
• Null price/cost renders 'Free' (ProductPublicPage.tsx:22, ServicePublicPage.tsx:26, GatheringPublicPage.tsx:28) - 'not set' and 'free' are indistinguishable
• Raw border-neutral-200 on info boxes</t>
  </si>
  <si>
    <t xml:space="preserve">src/app/m/[handle]/p/[slug]/page.tsx:30-39; src/components/item/ProductPublicPage.tsx:31-109</t>
  </si>
  <si>
    <t xml:space="preserve">S048</t>
  </si>
  <si>
    <t xml:space="preserve">/m/[handle]/s/[slug]</t>
  </si>
  <si>
    <t xml:space="preserve">Member service</t>
  </si>
  <si>
    <t xml:space="preserve">Service detail offered by an individual</t>
  </si>
  <si>
    <t xml:space="preserve">H1 title &gt; rate (or 'Request a quote') &gt; (no 'Offered by') &gt; description &gt; 'Service area' box</t>
  </si>
  <si>
    <t xml:space="preserve">• No attribution/back-link to the member for member-hosted items: groupHref=null and the component only renders attribution for kind 'group' - dead end with no way to reach /m/[handle]
• No primary action at all (no contact/buy/RSVP/follow) - detail page ends with nothing to do; no Share button either, unlike GatheringPublicPage
• 'Request a quote' is shown as the price text (ServicePublicPage.tsx:25) but there is no request control
• Raw border-neutral-200 on info boxes</t>
  </si>
  <si>
    <t xml:space="preserve">src/app/m/[handle]/s/[slug]/page.tsx:30-39; src/components/item/ServicePublicPage.tsx:37-94</t>
  </si>
  <si>
    <t xml:space="preserve">S049</t>
  </si>
  <si>
    <t xml:space="preserve">/m/[handle]/{e,p,s}/[slug]</t>
  </si>
  <si>
    <t xml:space="preserve">Member item not found</t>
  </si>
  <si>
    <t xml:space="preserve">/m/[handle]/*</t>
  </si>
  <si>
    <t xml:space="preserve">Unknown/unpublished item -&gt; notFound()</t>
  </si>
  <si>
    <t xml:space="preserve">• Default Next 404, no nav-aware not-found page</t>
  </si>
  <si>
    <t xml:space="preserve">src/app/m/[handle]/e/[slug]/page.tsx:46-48; p/[slug]/page.tsx:34-36; s/[slug]/page.tsx:34-36</t>
  </si>
  <si>
    <t xml:space="preserve">S050</t>
  </si>
  <si>
    <t xml:space="preserve">/p/[...place]</t>
  </si>
  <si>
    <t xml:space="preserve">Place landing (placeholder)</t>
  </si>
  <si>
    <t xml:space="preserve">dev</t>
  </si>
  <si>
    <t xml:space="preserve">Bare place path (state/city/neighbourhood) - shows breadcrumb, name, kind and a dev placeholder</t>
  </si>
  <si>
    <t xml:space="preserve">Breadcrumb (blue links) &gt; H1 place name &gt; raw kind string (e.g. 'city') &gt; dashed box: 'The curated landing for this place ships at b2 (places.md § T2)…'</t>
  </si>
  <si>
    <t xml:space="preserve">partial - max-w-4xl centered, no content</t>
  </si>
  <si>
    <t xml:space="preserve">• Developer placeholder copy shown to the public (src/app/p/[...slug]/page.tsx:332-337) - references internal spec file
• Raw enum value rendered as subtitle (src/app/p/[...slug]/page.tsx:326-328)
• Breadcrumb uses text-blue-600 (place-breadcrumb.tsx:45) - off-palette, raw gray-* (src/app/p/[...slug]/page.tsx:326,332)
• Dead end - no content, no links besides breadcrumb</t>
  </si>
  <si>
    <t xml:space="preserve">src/app/p/[...slug]/page.tsx:312-340; src/components/place-breadcrumb.tsx</t>
  </si>
  <si>
    <t xml:space="preserve">S051</t>
  </si>
  <si>
    <t xml:space="preserve">Place not found</t>
  </si>
  <si>
    <t xml:space="preserve">Unresolvable place path</t>
  </si>
  <si>
    <t xml:space="preserve">• Default 404</t>
  </si>
  <si>
    <t xml:space="preserve">src/app/p/[...slug]/page.tsx:314-316</t>
  </si>
  <si>
    <t xml:space="preserve">Verified /p/us and /p/us/ca: 404</t>
  </si>
  <si>
    <t xml:space="preserve">S052</t>
  </si>
  <si>
    <t xml:space="preserve">/p/[...place]/g/[group]</t>
  </si>
  <si>
    <t xml:space="preserve">Legacy Page path redirect</t>
  </si>
  <si>
    <t xml:space="preserve">Place-scoped Page URL 308s to canonical /g/[handle]; draft/dissolved -&gt; 404</t>
  </si>
  <si>
    <t xml:space="preserve">permanentRedirect(canonicalPagePath)</t>
  </si>
  <si>
    <t xml:space="preserve">• Item pages still build 'Sold by/Hosted by' links to this legacy path (src/app/p/[...slug]/page.tsx:203,218,234), so every attribution click costs a redirect</t>
  </si>
  <si>
    <t xml:space="preserve">src/app/p/[...slug]/page.tsx:302-309</t>
  </si>
  <si>
    <t xml:space="preserve">S053</t>
  </si>
  <si>
    <t xml:space="preserve">/p/[...place]/g/[group]/e/[item]</t>
  </si>
  <si>
    <t xml:space="preserve">Page-filed gathering</t>
  </si>
  <si>
    <t xml:space="preserve">Gathering detail under a Page</t>
  </si>
  <si>
    <t xml:space="preserve">H1 &gt; 'Hosted by {Page}' &gt; next occurrence/recurrence &gt; description &gt; Where &gt; Cost/Capacity &gt; What to bring &gt; Share link + Add to calendar</t>
  </si>
  <si>
    <t xml:space="preserve">partial - max-w-2xl single column</t>
  </si>
  <si>
    <t xml:space="preserve">• Three attribution verbs for the same relationship: 'Sold by' / 'Offered by' / 'Hosted by' (ProductPublicPage.tsx:59, ServicePublicPage.tsx:54, GatheringPublicPage.tsx:53)
• Attribution link targets legacy /p/…/g/&lt;slug&gt; which redirects (page.tsx:203,218,234)
• Item pages are not linked from the Page itself (ShopPublicPage items are plain text, ShopPublicPage.tsx:276-278) - only reachable by direct URL / member profile
• No primary action on product/service</t>
  </si>
  <si>
    <t xml:space="preserve">src/app/p/[...slug]/page.tsx:224-247; src/components/item/GatheringPublicPage.tsx:40-155</t>
  </si>
  <si>
    <t xml:space="preserve">S054</t>
  </si>
  <si>
    <t xml:space="preserve">/p/[...place]/g/[group]/p/[item]</t>
  </si>
  <si>
    <t xml:space="preserve">Page-filed product</t>
  </si>
  <si>
    <t xml:space="preserve">Product detail filed under a Page</t>
  </si>
  <si>
    <t xml:space="preserve">Photo &gt; H1 &gt; price &gt; 'Sold by {Page}' link &gt; Locally Made badge &gt; description &gt; Pickup point</t>
  </si>
  <si>
    <t xml:space="preserve">• Three attribution verbs for the same relationship: 'Sold by' / 'Offered by' / 'Hosted by' (ProductPublicPage.tsx:59, ServicePublicPage.tsx:54, GatheringPublicPage.tsx:53)
• Attribution link targets legacy /p/…/g/&lt;slug&gt; which redirects (page.tsx:203,218,234)
• Item pages are not linked from the Page itself (ShopPublicPage items are plain text, ShopPublicPage.tsx:276-278) - only reachable by direct URL / member profile
• No primary action on product/service
• 'Locally Made' badge is ml-2 inline after a block &lt;p&gt;, so it wraps to its own line with a stray left margin (ProductPublicPage.tsx:72-79)</t>
  </si>
  <si>
    <t xml:space="preserve">src/app/p/[...slug]/page.tsx:194-205; src/components/item/ProductPublicPage.tsx:31-109</t>
  </si>
  <si>
    <t xml:space="preserve">S055</t>
  </si>
  <si>
    <t xml:space="preserve">/p/[...place]/g/[group]/s/[item]</t>
  </si>
  <si>
    <t xml:space="preserve">Page-filed service</t>
  </si>
  <si>
    <t xml:space="preserve">Service detail under a Page</t>
  </si>
  <si>
    <t xml:space="preserve">H1 &gt; rate &gt; 'Offered by {Page}' &gt; description &gt; Service area</t>
  </si>
  <si>
    <t xml:space="preserve">src/app/p/[...slug]/page.tsx:209-220; src/components/item/ServicePublicPage.tsx:37-94</t>
  </si>
  <si>
    <t xml:space="preserve">S056</t>
  </si>
  <si>
    <t xml:space="preserve">/p/[...place]/l/[slug]</t>
  </si>
  <si>
    <t xml:space="preserve">Venue (signed out)</t>
  </si>
  <si>
    <t xml:space="preserve">Location/venue detail with what's happening there and nearby</t>
  </si>
  <si>
    <t xml:space="preserve">Hero image (optional) &gt; H1 venue name (text-[26px]) &gt; address &gt; hr &gt; CTAs: Follow (btn-primary, sign-in link) + 'Host something here' (btn-secondary, sign-in link) &gt; 'What's happening here' grid (only if owning Group) &gt; 'What's happening nearby' &lt;details&gt; collapsed &gt; About: kind chip, description, accessibility</t>
  </si>
  <si>
    <t xml:space="preserve">yes - 2-col item grid</t>
  </si>
  <si>
    <t xml:space="preserve">partial - max-w-3xl; item grid md:grid-cols-3; hero sm:aspect-video</t>
  </si>
  <si>
    <t xml:space="preserve">• About (what the place IS) is the last section, after event grids and a collapsed nearby list (src/components/venue/VenuePublicPage.tsx:141-156) - illogical order
• Signed-out Host link appends ?action=host (src/app/p/[...slug]/page.tsx:273) but nothing reads that param - after sign-in the intent is lost
• Arbitrary px type sizes text-[26px]/text-[22px] (src/components/venue/VenuePublicPage.tsx:79,115,134) and raw gray-* (src/components/venue/VenuePublicPage.tsx:84,120,147,150); FollowVenueButton error text-red-600
• 'Nearby' heading is a &lt;summary&gt; styled as an h2 (src/components/venue/VenuePublicPage.tsx:133-135) - inconsistent heading structure</t>
  </si>
  <si>
    <t xml:space="preserve">src/app/p/[...slug]/page.tsx:252-293; src/components/venue/VenuePublicPage.tsx:55-158; src/components/venue/FollowVenueButton.tsx</t>
  </si>
  <si>
    <t xml:space="preserve">S057</t>
  </si>
  <si>
    <t xml:space="preserve">Venue (signed in)</t>
  </si>
  <si>
    <t xml:space="preserve">signed in, follower</t>
  </si>
  <si>
    <t xml:space="preserve">Adds distance, live Follow toggle, Host goes to composer</t>
  </si>
  <si>
    <t xml:space="preserve">Same as signed out + '· N mi away' after address; Follow/Following toggle; Host -&gt; /you/sell?compose=gathering</t>
  </si>
  <si>
    <t xml:space="preserve">• Following state swaps btn-primary-&gt;btn-secondary (FollowVenueButton.tsx:72) so the two CTAs become visually identical</t>
  </si>
  <si>
    <t xml:space="preserve">src/app/p/[...slug]/page.tsx:258-273; src/components/venue/VenuePublicPage.tsx:84-108</t>
  </si>
  <si>
    <t xml:space="preserve">S058</t>
  </si>
  <si>
    <t xml:space="preserve">Venue - nothing scheduled</t>
  </si>
  <si>
    <t xml:space="preserve">Owning Group has no hosted items</t>
  </si>
  <si>
    <t xml:space="preserve">Dashed 'Nothing scheduled yet.'</t>
  </si>
  <si>
    <t xml:space="preserve">• Empty state has no action even though 'Host something here' exists above</t>
  </si>
  <si>
    <t xml:space="preserve">src/components/venue/VenuePublicPage.tsx:113-124</t>
  </si>
  <si>
    <t xml:space="preserve">S059</t>
  </si>
  <si>
    <t xml:space="preserve">Venue not found</t>
  </si>
  <si>
    <t xml:space="preserve">Private/deleted venue -&gt; 404</t>
  </si>
  <si>
    <t xml:space="preserve">src/app/p/[...slug]/page.tsx:254-257</t>
  </si>
  <si>
    <t xml:space="preserve">S060</t>
  </si>
  <si>
    <t xml:space="preserve">/p/[...place]/{g/../p|s|e}</t>
  </si>
  <si>
    <t xml:space="preserve">Page item not found</t>
  </si>
  <si>
    <t xml:space="preserve">Unknown item -&gt; notFound()</t>
  </si>
  <si>
    <t xml:space="preserve">src/app/p/[...slug]/page.tsx:200-202,215-217,230-232</t>
  </si>
  <si>
    <t xml:space="preserve">S061</t>
  </si>
  <si>
    <t xml:space="preserve">(all)</t>
  </si>
  <si>
    <t xml:space="preserve">BottomNav / TopNavDesktop</t>
  </si>
  <si>
    <t xml:space="preserve">Account, create, admin, system</t>
  </si>
  <si>
    <t xml:space="preserve">Primary nav: Explore, Create (+), You; desktop top bar with NavYouBadge</t>
  </si>
  <si>
    <t xml:space="preserve">Phone: fixed bottom [Explore][+ Create][You] h-11 max-w-[420px] | Desktop (md+): sticky top bar SocialUs &gt; Explore &gt; You &gt; Create &gt; NavYouBadge</t>
  </si>
  <si>
    <t xml:space="preserve">yes: hides on scroll down, keyboard, aria-modal overlays</t>
  </si>
  <si>
    <t xml:space="preserve">yes: md:hidden bottom bar, hidden md:flex top bar</t>
  </si>
  <si>
    <t xml:space="preserve">• Order differs: phone Explore/Create/You (CREATE_AFTER=1, BottomNav.tsx:47) vs desktop Explore/You/Create (:139-161)
• 'Create' -&gt; /you/sell, which redirects members without an active shop to /you (you/sell/page.tsx:111-113)
• Never suppressed on auth/onboarding/admin/dev routes (NavVisibilityProvider.tsx:16-28)
• Desktop nav raw neutral-200/600/900 (:133,:147,:157) while bottom nav uses tokens
• Bottom nav labels text-[9px] (:95,:112)</t>
  </si>
  <si>
    <t xml:space="preserve">components/BottomNav.tsx:58-172; components/NavVisibilityProvider.tsx:16-28; app/layout.tsx:52-56</t>
  </si>
  <si>
    <t xml:space="preserve">S062</t>
  </si>
  <si>
    <t xml:space="preserve">proxy (session refresh)</t>
  </si>
  <si>
    <t xml:space="preserve">Refreshes Supabase session cookie; performs no auth redirects</t>
  </si>
  <si>
    <t xml:space="preserve">• No central auth gating: /onboarding, /you/sell, /you/following redirect to /auth/login; /g/[handle]/edit and /admin/reports 404; /you renders an inline signed-out state; /auth/login never bounces signed-in users</t>
  </si>
  <si>
    <t xml:space="preserve">src/proxy.ts:11-60</t>
  </si>
  <si>
    <t xml:space="preserve">S063</t>
  </si>
  <si>
    <t xml:space="preserve">(component)</t>
  </si>
  <si>
    <t xml:space="preserve">LocationPlaceFields (address / neighbourhood)</t>
  </si>
  <si>
    <t xml:space="preserve">/you</t>
  </si>
  <si>
    <t xml:space="preserve">signed in, owner</t>
  </si>
  <si>
    <t xml:space="preserve">Address combobox with suggestions, or neighbourhood mode</t>
  </si>
  <si>
    <t xml:space="preserve">Label 'Where is it?' &gt; combobox input &gt; suggestions listbox (label, sublabel, kind chip) &gt; Searching... &gt; error &gt; confirmed address + map thumb &gt; mode-switch link</t>
  </si>
  <si>
    <t xml:space="preserve">partial: fills parent width; absolute dropdown</t>
  </si>
  <si>
    <t xml:space="preserve">• Errors use var(--color-danger) (:226) while sibling forms use text-red-600: inconsistent error colour
• Raw neutral-* (:192,:203,:215,:245)</t>
  </si>
  <si>
    <t xml:space="preserve">components/locations/LocationPlaceFields.tsx:165-292</t>
  </si>
  <si>
    <t xml:space="preserve">S064</t>
  </si>
  <si>
    <t xml:space="preserve">PagePhotoPicker</t>
  </si>
  <si>
    <t xml:space="preserve">Upload/replace/remove a Page photo</t>
  </si>
  <si>
    <t xml:space="preserve">'Photo' label &gt; preview + Remove &gt; 'Choose a photo'/'Change photo' btn-secondary &gt; Uploading... &gt; error</t>
  </si>
  <si>
    <t xml:space="preserve">• Own 'Photo' heading (:60) duplicated by EditPageForm wrapper label (EditPageForm.tsx:222)
• Error colour var(--color-danger,#b00) with hex fallback (:108)</t>
  </si>
  <si>
    <t xml:space="preserve">components/media/PagePhotoPicker.tsx:58-113</t>
  </si>
  <si>
    <t xml:space="preserve">S065</t>
  </si>
  <si>
    <t xml:space="preserve">Toast (shared)</t>
  </si>
  <si>
    <t xml:space="preserve">Transient message pill</t>
  </si>
  <si>
    <t xml:space="preserve">pill bottom-20 z-50</t>
  </si>
  <si>
    <t xml:space="preserve">• Only used by legacy FollowButton; SellCta and Add* buttons each re-implement toasts
• Raw bg-zinc-800 (:24)</t>
  </si>
  <si>
    <t xml:space="preserve">components/Toast.tsx:12-28; components/FollowButton.tsx</t>
  </si>
  <si>
    <t xml:space="preserve">S066</t>
  </si>
  <si>
    <t xml:space="preserve">MultiStepComposer shell</t>
  </si>
  <si>
    <t xml:space="preserve">Generic wizard dialog: dots + counter, close, scrolling body, footer Back/Skip/Continue</t>
  </si>
  <si>
    <t xml:space="preserve">Top bar (dots + 'Step k of N', X) &gt; scroll body (H3, helper, fields, errors) &gt; finalNotice &gt; submit error &gt; footer (Back | Skip | Continue/final)</t>
  </si>
  <si>
    <t xml:space="preserve">yes: bottom sheet, footer pinned, body scrolls</t>
  </si>
  <si>
    <t xml:space="preserve">partial: md:max-w-lg dialog; nothing for lg/xl</t>
  </si>
  <si>
    <t xml:space="preserve">• No Escape-to-close (AddEntityDrawer.tsx:102 handles Escape, composer does not)
• Raw neutral-* (:206,:247,:254)</t>
  </si>
  <si>
    <t xml:space="preserve">components/composer/MultiStepComposer.tsx:184-344</t>
  </si>
  <si>
    <t xml:space="preserve">S067</t>
  </si>
  <si>
    <t xml:space="preserve">(dev)</t>
  </si>
  <si>
    <t xml:space="preserve">Dev route gate</t>
  </si>
  <si>
    <t xml:space="preserve">operator</t>
  </si>
  <si>
    <t xml:space="preserve">404s dev pages on production deployments</t>
  </si>
  <si>
    <t xml:space="preserve">notFound in prod</t>
  </si>
  <si>
    <t xml:space="preserve">app/(dev)/layout.tsx:56-61; app/(dev)/gate.ts:21-25</t>
  </si>
  <si>
    <t xml:space="preserve">S068</t>
  </si>
  <si>
    <t xml:space="preserve">(none)</t>
  </si>
  <si>
    <t xml:space="preserve">MarketForm (admin)</t>
  </si>
  <si>
    <t xml:space="preserve">Create/edit a market with geocode and schedule</t>
  </si>
  <si>
    <t xml:space="preserve">Name/Slug/City/State grid &gt; Geocode helper &gt; Lat/Long &gt; day chips &gt; Start/End time &gt; Description &gt; error &gt; Save/Create + Delete</t>
  </si>
  <si>
    <t xml:space="preserve">partial: grid-cols-2 at all widths</t>
  </si>
  <si>
    <t xml:space="preserve">unclear from code: no host route</t>
  </si>
  <si>
    <t xml:space="preserve">• Orphaned: no importer and no admin route hosts it
• Delete is red text next to primary with no confirm (:134)
• Raw red-600/neutral-* (:89,:130,:134,:143)</t>
  </si>
  <si>
    <t xml:space="preserve">components/admin/MarketForm.tsx:80-147</t>
  </si>
  <si>
    <t xml:space="preserve">S069</t>
  </si>
  <si>
    <t xml:space="preserve">ReportForm confirmation</t>
  </si>
  <si>
    <t xml:space="preserve">Thanks message</t>
  </si>
  <si>
    <t xml:space="preserve">message &gt; Done</t>
  </si>
  <si>
    <t xml:space="preserve">• Orphaned (see ReportForm)</t>
  </si>
  <si>
    <t xml:space="preserve">components/ReportForm.tsx:59-78</t>
  </si>
  <si>
    <t xml:space="preserve">S070</t>
  </si>
  <si>
    <t xml:space="preserve">SignInPrompt</t>
  </si>
  <si>
    <t xml:space="preserve">Deferred-registration sheet: reason + Sign in + Not now</t>
  </si>
  <si>
    <t xml:space="preserve">Backdrop button &gt; H2 title &gt; why copy &gt; 'Sign in' btn-primary &gt; 'Not now' text button</t>
  </si>
  <si>
    <t xml:space="preserve">yes: bottom sheet rounded-t-2xl</t>
  </si>
  <si>
    <t xml:space="preserve">partial: sm:items-center sm:rounded-2xl, max-w-sm</t>
  </si>
  <si>
    <t xml:space="preserve">• Orphaned: no importer anywhere in src, while legacy AuthGateModal is the one in use
• Switches sheet-&gt;dialog at sm: while AuthGateModal/composers switch at md:</t>
  </si>
  <si>
    <t xml:space="preserve">components/auth/SignInPrompt.tsx:14-59</t>
  </si>
  <si>
    <t xml:space="preserve">S071</t>
  </si>
  <si>
    <t xml:space="preserve">ReportForm sheet (legacy)</t>
  </si>
  <si>
    <t xml:space="preserve">Report a concern about a business (legacy)</t>
  </si>
  <si>
    <t xml:space="preserve">H2 'Report a Concern' + x &gt; PillarSelector &gt; 'What happened?' textarea + counter &gt; Source link &gt; witness checkbox &gt; 'Submit Report'</t>
  </si>
  <si>
    <t xml:space="preserve">yes: bottom sheet</t>
  </si>
  <si>
    <t xml:space="preserve">partial: max-w-lg bottom sheet even on desktop (no md: centering)</t>
  </si>
  <si>
    <t xml:space="preserve">• Orphaned: no importer; writes legacy reports.business_id (:43-50)
• Insert error silently ignored (:52-56)
• zinc-*/dark:/bg-foreground: a different design system (:65,:71,:89,:145)
• No role=dialog/aria-modal
• Title Case 'Submit Report' vs sentence case elsewhere</t>
  </si>
  <si>
    <t xml:space="preserve">components/ReportForm.tsx:80-152</t>
  </si>
  <si>
    <t xml:space="preserve">S072</t>
  </si>
  <si>
    <t xml:space="preserve">/add-entity-demo</t>
  </si>
  <si>
    <t xml:space="preserve">AddEntityDrawer demo</t>
  </si>
  <si>
    <t xml:space="preserve">Exercise AddEntityDrawer</t>
  </si>
  <si>
    <t xml:space="preserve">H1 &gt; intro &gt; open button &gt; last id</t>
  </si>
  <si>
    <t xml:space="preserve">no: p-8 unconstrained</t>
  </si>
  <si>
    <t xml:space="preserve">• Raw bg-neutral-100 (:62)</t>
  </si>
  <si>
    <t xml:space="preserve">app/(dev)/add-entity-demo/page.tsx:42-87</t>
  </si>
  <si>
    <t xml:space="preserve">Verified: 404 in production</t>
  </si>
  <si>
    <t xml:space="preserve">S073</t>
  </si>
  <si>
    <t xml:space="preserve">/admin/reports</t>
  </si>
  <si>
    <t xml:space="preserve">Reports review queue</t>
  </si>
  <si>
    <t xml:space="preserve">Operator takedown queue</t>
  </si>
  <si>
    <t xml:space="preserve">H1 'Reports' &gt; count line 'N waiting - decided ones stay below...' &gt; list of ReportEntry cards</t>
  </si>
  <si>
    <t xml:space="preserve">yes: phone-first column</t>
  </si>
  <si>
    <t xml:space="preserve">partial: max-w-xl (576px) px-3 at all widths, deliberate (page.tsx:33-34); no multi-column on desktop</t>
  </si>
  <si>
    <t xml:space="preserve">• Root layout always renders TopNavDesktop + BottomNav (app/layout.tsx:53-55); no route hides nav, only scroll/keyboard/aria-modal (NavVisibilityProvider.tsx:16-28); operator screen shows member Create/You nav
• No filter/tabs between waiting and decided; one list
• Non-operators get 404 (page.tsx:27); no admin nav or entry link anywhere</t>
  </si>
  <si>
    <t xml:space="preserve">app/admin/reports/page.tsx:24-58</t>
  </si>
  <si>
    <t xml:space="preserve">Verified signed out: 404</t>
  </si>
  <si>
    <t xml:space="preserve">S074</t>
  </si>
  <si>
    <t xml:space="preserve">Report entry card</t>
  </si>
  <si>
    <t xml:space="preserve">One report: Page, owner, body, status, photo, history, decide</t>
  </si>
  <si>
    <t xml:space="preserve">Page name &gt; owner name + @handle &gt; quoted body &gt; status + reported date &gt; blurred photo + 'Show photo' &gt; decision history (Undo) &gt; [Approve][Reject] &gt; error</t>
  </si>
  <si>
    <t xml:space="preserve">partial: inherits max-w-xl</t>
  </si>
  <si>
    <t xml:space="preserve">• 'Equal weight' buttons (comment :212) are styled differently: Approve btn-secondary vs Reject bespoke bordered (:219 vs :228)
• Terms drift: buttons Approve/Reject, history Removed/Restored (:148), status Hidden/Photo removed (:102-106)
• Error uses fg colour, not a danger token (:236)
• No link to the reported Page</t>
  </si>
  <si>
    <t xml:space="preserve">app/admin/reports/ReportEntry.tsx:84-241</t>
  </si>
  <si>
    <t xml:space="preserve">S075</t>
  </si>
  <si>
    <t xml:space="preserve">Reason picker</t>
  </si>
  <si>
    <t xml:space="preserve">Pick a preset reason for approve/reject/undo</t>
  </si>
  <si>
    <t xml:space="preserve">Title 'Approve - why?' &gt; reason buttons &gt; (note textarea + 'Use this reason') &gt; 'Cancel' link</t>
  </si>
  <si>
    <t xml:space="preserve">• Tapping a reason commits immediately (:274) though the buttons look like selectable options
• Cancel is a tiny xs underline at the bottom (:305)</t>
  </si>
  <si>
    <t xml:space="preserve">app/admin/reports/ReportEntry.tsx:166-209,244-310</t>
  </si>
  <si>
    <t xml:space="preserve">S076</t>
  </si>
  <si>
    <t xml:space="preserve">Reports empty</t>
  </si>
  <si>
    <t xml:space="preserve">'Nothing here.'</t>
  </si>
  <si>
    <t xml:space="preserve">H1 &gt; 'Nothing here.'</t>
  </si>
  <si>
    <t xml:space="preserve">app/admin/reports/page.tsx:38-39</t>
  </si>
  <si>
    <t xml:space="preserve">S077</t>
  </si>
  <si>
    <t xml:space="preserve">/api/health/db</t>
  </si>
  <si>
    <t xml:space="preserve">db</t>
  </si>
  <si>
    <t xml:space="preserve">api</t>
  </si>
  <si>
    <t xml:space="preserve">GET: database reachability check for CI</t>
  </si>
  <si>
    <t xml:space="preserve">app/api/health/db/route.ts</t>
  </si>
  <si>
    <t xml:space="preserve">Verified: 200</t>
  </si>
  <si>
    <t xml:space="preserve">S078</t>
  </si>
  <si>
    <t xml:space="preserve">/api/health/schema</t>
  </si>
  <si>
    <t xml:space="preserve">schema</t>
  </si>
  <si>
    <t xml:space="preserve">GET: deployed schema matches code</t>
  </si>
  <si>
    <t xml:space="preserve">app/api/health/schema/route.ts</t>
  </si>
  <si>
    <t xml:space="preserve">S079</t>
  </si>
  <si>
    <t xml:space="preserve">/api/internal/auth-before-user-created</t>
  </si>
  <si>
    <t xml:space="preserve">auth-before-user-created</t>
  </si>
  <si>
    <t xml:space="preserve">POST: Supabase before-user-created hook (admit/reject sign-up)</t>
  </si>
  <si>
    <t xml:space="preserve">app/api/internal/auth-before-user-created/route.ts</t>
  </si>
  <si>
    <t xml:space="preserve">S080</t>
  </si>
  <si>
    <t xml:space="preserve">/api/internal/auth-signup</t>
  </si>
  <si>
    <t xml:space="preserve">auth-signup</t>
  </si>
  <si>
    <t xml:space="preserve">POST: pg_net HMAC-signed member bootstrap</t>
  </si>
  <si>
    <t xml:space="preserve">app/api/internal/auth-signup/route.ts</t>
  </si>
  <si>
    <t xml:space="preserve">S081</t>
  </si>
  <si>
    <t xml:space="preserve">/auth/callback</t>
  </si>
  <si>
    <t xml:space="preserve">Auth callback</t>
  </si>
  <si>
    <t xml:space="preserve">Exchanges code/token_hash for a session, then redirects to ?next or /auth/login?error=</t>
  </si>
  <si>
    <t xml:space="preserve">route handler: code &gt; exchange; token_hash &gt; verifyOtp; else error redirect</t>
  </si>
  <si>
    <t xml:space="preserve">• Password flow defaults next to /onboarding (EmailFirstSignup.tsx:61) but MagicLinkForm uses safeNext(next) without that default (MagicLinkForm.tsx:14): whether new magic-link members reach /onboarding is unclear from code</t>
  </si>
  <si>
    <t xml:space="preserve">app/auth/callback/route.ts:15-51</t>
  </si>
  <si>
    <t xml:space="preserve">S082</t>
  </si>
  <si>
    <t xml:space="preserve">/auth/login</t>
  </si>
  <si>
    <t xml:space="preserve">Sign in (magic link)</t>
  </si>
  <si>
    <t xml:space="preserve">Single email field that sends a magic sign-in link; same flow for sign-up and sign-in</t>
  </si>
  <si>
    <t xml:space="preserve">Optional ?error alert &gt; H1 'Sign in to SocialUs' &gt; helper copy &gt; email input &gt; error &gt; 'Email me a sign-in link' primary</t>
  </si>
  <si>
    <t xml:space="preserve">yes: centered max-w-sm column, min-h-screen</t>
  </si>
  <si>
    <t xml:space="preserve">partial: same max-w-sm (384px) centered column at all widths; TopNavDesktop appears at md (768); no sm/md/lg prefixes in page</t>
  </si>
  <si>
    <t xml:space="preserve">none (page); nav md:</t>
  </si>
  <si>
    <t xml:space="preserve">• Root layout always renders TopNavDesktop + BottomNav (app/layout.tsx:53-55); no route hides nav, only scroll/keyboard/aria-modal (NavVisibilityProvider.tsx:16-28); Create/You nav stays visible on the sign-in screen
• No redirect for already-signed-in users: client page never checks session (login/page.tsx:7-23) and proxy.ts:40-55 does no auth redirects
• ?error is the raw Supabase message from callback (callback/route.ts:21,25,35) and renders ABOVE the H1 (login/page.tsx:15-19)
• Raw text-red-600 instead of a danger token (login/page.tsx:16, MagicLinkForm.tsx:82); LocationPlaceFields uses var(--color-danger)
• Submit is a hand-rolled accent pill (MagicLinkForm.tsx:90) instead of btn-primary used by AuthGateModal/SignInPrompt/onboarding
• No Google option here while /auth/password offers 'Continue with Google' (EmailFirstSignup.tsx:192-200): two divergent sign-in surfaces</t>
  </si>
  <si>
    <t xml:space="preserve">app/auth/login/page.tsx:7-23; components/auth/MagicLinkForm.tsx:60-96; app/auth/layout.tsx:1-9</t>
  </si>
  <si>
    <t xml:space="preserve">Verified 390/1440: 384px column at every width; app nav shown on auth</t>
  </si>
  <si>
    <t xml:space="preserve">S083</t>
  </si>
  <si>
    <t xml:space="preserve">Check your email (link sent)</t>
  </si>
  <si>
    <t xml:space="preserve">Confirms the link was sent and to which address</t>
  </si>
  <si>
    <t xml:space="preserve">H1 'Check your email' &gt; 'We sent a sign-in link to &lt;email&gt;... Open it on this device' &gt; 'Use a different email' text link</t>
  </si>
  <si>
    <t xml:space="preserve">partial: max-w-sm centered</t>
  </si>
  <si>
    <t xml:space="preserve">• No resend action, only 'Use a different email' (MagicLinkForm.tsx:46-55)
• Same state implemented twice with different copy: 'Open it on this device' (MagicLinkForm.tsx:44) vs 'Click it to finish' (EmailFirstSignup.tsx:165)</t>
  </si>
  <si>
    <t xml:space="preserve">components/auth/MagicLinkForm.tsx:39-58</t>
  </si>
  <si>
    <t xml:space="preserve">S084</t>
  </si>
  <si>
    <t xml:space="preserve">Sign-in link error (from callback)</t>
  </si>
  <si>
    <t xml:space="preserve">Shows why an expired/used/missing-token link failed</t>
  </si>
  <si>
    <t xml:space="preserve">Red alert line &gt; normal sign-in form</t>
  </si>
  <si>
    <t xml:space="preserve">partial: max-w-sm column</t>
  </si>
  <si>
    <t xml:space="preserve">• Message is Supabase's raw error_description (route.ts:25): technical wording shown to members
• No explicit 'send a new link' action; only the missing-token message says so (route.ts:47)</t>
  </si>
  <si>
    <t xml:space="preserve">app/auth/login/page.tsx:15-19; app/auth/callback/route.ts:19-26,35,45,47</t>
  </si>
  <si>
    <t xml:space="preserve">S085</t>
  </si>
  <si>
    <t xml:space="preserve">Magic link validation/send error</t>
  </si>
  <si>
    <t xml:space="preserve">Inline error for invalid email or send failure</t>
  </si>
  <si>
    <t xml:space="preserve">Email input &gt; red error text &gt; submit</t>
  </si>
  <si>
    <t xml:space="preserve">partial: max-w-sm</t>
  </si>
  <si>
    <t xml:space="preserve">• Raw text-red-600 (MagicLinkForm.tsx:82)</t>
  </si>
  <si>
    <t xml:space="preserve">components/auth/MagicLinkForm.tsx:25-35,81-85</t>
  </si>
  <si>
    <t xml:space="preserve">S086</t>
  </si>
  <si>
    <t xml:space="preserve">/auth/password</t>
  </si>
  <si>
    <t xml:space="preserve">Password sign-in (email step)</t>
  </si>
  <si>
    <t xml:space="preserve">Unlinked eval-only password auth: Google button, then email + Continue</t>
  </si>
  <si>
    <t xml:space="preserve">H1 'Sign in with a password' &gt; 'Continue with Google' &gt; 'or' divider &gt; email input &gt; error &gt; 'Continue' primary</t>
  </si>
  <si>
    <t xml:space="preserve">yes: max-w-sm centered</t>
  </si>
  <si>
    <t xml:space="preserve">partial: max-w-sm at all widths</t>
  </si>
  <si>
    <t xml:space="preserve">• Comment says intentionally unlinked test route (password/page.tsx:1-4) yet it is reachable in production with Google + password sign-up
• Heading 'Sign in with a password' but first control is 'Continue with Google' (page.tsx:20-22 vs EmailFirstSignup.tsx:192-200)
• Email input has no label/aria-label (EmailFirstSignup.tsx:210-219) unlike MagicLinkForm.tsx:77
• Raw neutral-300/800/200/500 and red-600 (EmailFirstSignup.tsx:197,203,206,221)</t>
  </si>
  <si>
    <t xml:space="preserve">app/auth/password/page.tsx:12-30; components/auth/EmailFirstSignup.tsx:188-235</t>
  </si>
  <si>
    <t xml:space="preserve">Verified 390/1440: 384px column; nav shown</t>
  </si>
  <si>
    <t xml:space="preserve">S087</t>
  </si>
  <si>
    <t xml:space="preserve">Magic link sent (password flow)</t>
  </si>
  <si>
    <t xml:space="preserve">Confirms magic link sent from the password flow</t>
  </si>
  <si>
    <t xml:space="preserve">Page H1 &gt; H1 'Check your email' &gt; copy &gt; 'Use a different email'</t>
  </si>
  <si>
    <t xml:space="preserve">• Duplicate of MagicLinkForm sent state with different copy
• Page H1 'Sign in with a password' still shows above it (password/page.tsx:20)</t>
  </si>
  <si>
    <t xml:space="preserve">components/auth/EmailFirstSignup.tsx:160-172</t>
  </si>
  <si>
    <t xml:space="preserve">S088</t>
  </si>
  <si>
    <t xml:space="preserve">Confirm your email</t>
  </si>
  <si>
    <t xml:space="preserve">After prod sign-up, asks member to click the confirmation link</t>
  </si>
  <si>
    <t xml:space="preserve">H1 'Confirm your email' &gt; copy &gt; 'Use a different email'</t>
  </si>
  <si>
    <t xml:space="preserve">• No resend; only exit is 'Use a different email'</t>
  </si>
  <si>
    <t xml:space="preserve">components/auth/EmailFirstSignup.tsx:174-186</t>
  </si>
  <si>
    <t xml:space="preserve">S089</t>
  </si>
  <si>
    <t xml:space="preserve">Set a password (new account)</t>
  </si>
  <si>
    <t xml:space="preserve">step</t>
  </si>
  <si>
    <t xml:space="preserve">New email: choose a password to create the account</t>
  </si>
  <si>
    <t xml:space="preserve">H1 'Set a password' &gt; 'Creating an account for &lt;email&gt;' &gt; password &gt; error &gt; 'Create account' &gt; 'Sign in with a magic link instead' &gt; '&lt;- Use a different email'</t>
  </si>
  <si>
    <t xml:space="preserve">• Two H1s: page H1 (password/page.tsx:20) plus step H1 (EmailFirstSignup.tsx:240-245)
• Two stacked text links in different greys (neutral-500 :287 vs neutral-400 :294); back link placed last</t>
  </si>
  <si>
    <t xml:space="preserve">components/auth/EmailFirstSignup.tsx:237-298</t>
  </si>
  <si>
    <t xml:space="preserve">S090</t>
  </si>
  <si>
    <t xml:space="preserve">Welcome back (enter password)</t>
  </si>
  <si>
    <t xml:space="preserve">Returning email: enter password</t>
  </si>
  <si>
    <t xml:space="preserve">H1 'Welcome back' &gt; 'Enter your password for &lt;email&gt;' &gt; password &gt; error &gt; 'Log in' &gt; magic-link link &gt; use-different-email link</t>
  </si>
  <si>
    <t xml:space="preserve">• Button says 'Log in' (EmailFirstSignup.tsx:277); every other surface says 'Sign in' (MagicLinkForm.tsx:63, AuthGateModal.tsx:49, SignInPrompt.tsx:48)
• No forgot-password path</t>
  </si>
  <si>
    <t xml:space="preserve">S091</t>
  </si>
  <si>
    <t xml:space="preserve">/auth/signup</t>
  </si>
  <si>
    <t xml:space="preserve">Legacy sign-up redirect</t>
  </si>
  <si>
    <t xml:space="preserve">Forwards old links to /auth/login preserving ?next</t>
  </si>
  <si>
    <t xml:space="preserve">redirect only</t>
  </si>
  <si>
    <t xml:space="preserve">app/auth/signup/page.tsx:6-14</t>
  </si>
  <si>
    <t xml:space="preserve">Verified: redirects to /auth/login</t>
  </si>
  <si>
    <t xml:space="preserve">S092</t>
  </si>
  <si>
    <t xml:space="preserve">/business/:slug</t>
  </si>
  <si>
    <t xml:space="preserve">Legacy business redirect</t>
  </si>
  <si>
    <t xml:space="preserve">-&gt; /explore (next.config.ts:16)</t>
  </si>
  <si>
    <t xml:space="preserve">next.config.ts</t>
  </si>
  <si>
    <t xml:space="preserve">S093</t>
  </si>
  <si>
    <t xml:space="preserve">/card-gallery</t>
  </si>
  <si>
    <t xml:space="preserve">Card gallery</t>
  </si>
  <si>
    <t xml:space="preserve">Showcase of card system variants</t>
  </si>
  <si>
    <t xml:space="preserve">H1 'Card system' &gt; intro &gt; Tiles &gt; Tiles compact &gt; Examples &gt; Announcements &gt; Status &gt; Metrics</t>
  </si>
  <si>
    <t xml:space="preserve">yes: CardGrid auto-fill; no max-w (full bleed px-4)</t>
  </si>
  <si>
    <t xml:space="preserve">• No max-width at desktop (page.tsx:24)</t>
  </si>
  <si>
    <t xml:space="preserve">app/(dev)/card-gallery/page.tsx:23-86</t>
  </si>
  <si>
    <t xml:space="preserve">Verified: 404 in production (dev gate works)</t>
  </si>
  <si>
    <t xml:space="preserve">S094</t>
  </si>
  <si>
    <t xml:space="preserve">/composer-demo</t>
  </si>
  <si>
    <t xml:space="preserve">MultiStepComposer demo</t>
  </si>
  <si>
    <t xml:space="preserve">Exercise composer with fake steps</t>
  </si>
  <si>
    <t xml:space="preserve">H1 &gt; intro &gt; open button &gt; result &lt;pre&gt;</t>
  </si>
  <si>
    <t xml:space="preserve">• Raw bg-neutral-100 (:117)</t>
  </si>
  <si>
    <t xml:space="preserve">app/(dev)/composer-demo/page.tsx:99-142</t>
  </si>
  <si>
    <t xml:space="preserve">S095</t>
  </si>
  <si>
    <t xml:space="preserve">AuthGateModal</t>
  </si>
  <si>
    <t xml:space="preserve">Signed-out gate when tapping Follow on the legacy /following vendor list</t>
  </si>
  <si>
    <t xml:space="preserve">Backdrop &gt; close X &gt; H3 headline &gt; subtext &gt; 'Sign in' btn-primary &gt; 'We email you a link...' &gt; divider &gt; 'Are you a business owner? List your business -&gt;'</t>
  </si>
  <si>
    <t xml:space="preserve">yes: bottom-anchored (items-end) max-w-sm</t>
  </si>
  <si>
    <t xml:space="preserve">partial: md:items-center centers it; max-w-sm only</t>
  </si>
  <si>
    <t xml:space="preserve">• Duplicate of SignInPrompt: two sign-in gate modals with different structure, copy and close affordances
• No role=dialog/aria-modal (AuthGateModal.tsx:23-28) so useOverlayOpen (hooks/useOverlayOpen.ts:7) does not pause BottomNav
• Heading is H3 (:41)
• Secondary CTA 'List your business' (:57-59) uses retired business/vendor framing vs 'Page'/'Create'
• Raw neutral-* (:37,:42,:51,:55)
• Only consumer is legacy vendor page app/following/page.tsx (imports Vendor/Market types)</t>
  </si>
  <si>
    <t xml:space="preserve">components/AuthGateModal.tsx:17-63; components/FollowButton.tsx:105</t>
  </si>
  <si>
    <t xml:space="preserve">S096</t>
  </si>
  <si>
    <t xml:space="preserve">Config redirect</t>
  </si>
  <si>
    <t xml:space="preserve">-&gt; /you/following (next.config.ts:9); shadows app/following/page.tsx</t>
  </si>
  <si>
    <t xml:space="preserve">Verified: /following -&gt; /auth/login?next=/you/following</t>
  </si>
  <si>
    <t xml:space="preserve">S097</t>
  </si>
  <si>
    <t xml:space="preserve">/g/[handle]/edit</t>
  </si>
  <si>
    <t xml:space="preserve">Edit Page</t>
  </si>
  <si>
    <t xml:space="preserve">settings</t>
  </si>
  <si>
    <t xml:space="preserve">Owner edits name, description, address, photo, socials</t>
  </si>
  <si>
    <t xml:space="preserve">H1 'Edit &lt;name&gt;' &gt; 'Only you can see this.' &gt; Name &gt; Description &gt; Address (+ Change it) &gt; Link (frozen + explanation) &gt; Photo &gt; SocialHandleFields &gt; error/saved &gt; PostingSafetyNote &gt; [Save changes][Done]</t>
  </si>
  <si>
    <t xml:space="preserve">yes: single column</t>
  </si>
  <si>
    <t xml:space="preserve">partial: max-w-xl (576px) px-3 at all widths; no responsive prefixes</t>
  </si>
  <si>
    <t xml:space="preserve">• Save sits at the bottom of a long form and scrolls away; no sticky footer (EditPageForm.tsx:243-250)
• Two equal full-width buttons 'Save changes' and 'Done'; 'Done' is a plain &lt;a&gt; that silently discards unsaved edits (:247)
• Duplicate 'Photo' label: wrapper (:222) + PagePhotoPicker's own (PagePhotoPicker.tsx:60)
• Labels differ from creation: 'Description' vs 'About', 'Address' vs 'Anchor Location', handles vs URLs for socials
• Tags added in the walkthrough are not editable here
• Error uses text-[var(--color-fg)], not visually distinct (:231)</t>
  </si>
  <si>
    <t xml:space="preserve">app/g/[handle]/edit/page.tsx:23-66; app/g/[handle]/edit/EditPageForm.tsx:146-252</t>
  </si>
  <si>
    <t xml:space="preserve">S098</t>
  </si>
  <si>
    <t xml:space="preserve">Change address</t>
  </si>
  <si>
    <t xml:space="preserve">Inline LocationPlaceFields to move the Page</t>
  </si>
  <si>
    <t xml:space="preserve">Address label &gt; LocationPlaceFields &gt; 'Keep it where it is' link</t>
  </si>
  <si>
    <t xml:space="preserve">• Only saved by the global Save at the bottom</t>
  </si>
  <si>
    <t xml:space="preserve">app/g/[handle]/edit/EditPageForm.tsx:172-205</t>
  </si>
  <si>
    <t xml:space="preserve">S099</t>
  </si>
  <si>
    <t xml:space="preserve">Edit saved / error</t>
  </si>
  <si>
    <t xml:space="preserve">'Saved.' status or error alert</t>
  </si>
  <si>
    <t xml:space="preserve">text line above safety note</t>
  </si>
  <si>
    <t xml:space="preserve">• Feedback at the bottom, far from the top of the form; error same colour as body text</t>
  </si>
  <si>
    <t xml:space="preserve">app/g/[handle]/edit/EditPageForm.tsx:230-239</t>
  </si>
  <si>
    <t xml:space="preserve">S100</t>
  </si>
  <si>
    <t xml:space="preserve">Edit 404 (not owner / signed out)</t>
  </si>
  <si>
    <t xml:space="preserve">Non-owners and signed-out viewers get notFound</t>
  </si>
  <si>
    <t xml:space="preserve">Next 404</t>
  </si>
  <si>
    <t xml:space="preserve">• Owner with an expired session gets 404, not a sign-in redirect (page.tsx:27), unlike /you/sell and /you/following</t>
  </si>
  <si>
    <t xml:space="preserve">app/g/[handle]/edit/page.tsx:27,30,41</t>
  </si>
  <si>
    <t xml:space="preserve">S101</t>
  </si>
  <si>
    <t xml:space="preserve">/manage/[...slug]</t>
  </si>
  <si>
    <t xml:space="preserve">Legacy manage redirect</t>
  </si>
  <si>
    <t xml:space="preserve">Permanent redirect to /g/&lt;handle&gt;/edit</t>
  </si>
  <si>
    <t xml:space="preserve">redirect / 404 if dissolved</t>
  </si>
  <si>
    <t xml:space="preserve">app/manage/[...slug]/page.tsx:15-25</t>
  </si>
  <si>
    <t xml:space="preserve">Verified unknown slug: 404</t>
  </si>
  <si>
    <t xml:space="preserve">S102</t>
  </si>
  <si>
    <t xml:space="preserve">/map</t>
  </si>
  <si>
    <t xml:space="preserve">Legacy map redirect</t>
  </si>
  <si>
    <t xml:space="preserve">-&gt; /explore?view=map (next.config.ts:17)</t>
  </si>
  <si>
    <t xml:space="preserve">S103</t>
  </si>
  <si>
    <t xml:space="preserve">/onboarding</t>
  </si>
  <si>
    <t xml:space="preserve">Onboarding: What should we call you?</t>
  </si>
  <si>
    <t xml:space="preserve">Collect display name; server defaults home locality</t>
  </si>
  <si>
    <t xml:space="preserve">card &gt; H1 'What should we call you?' &gt; helper &gt; name input (sr-only label) &gt; error &gt; 'Continue' btn-primary w/ spinner</t>
  </si>
  <si>
    <t xml:space="preserve">yes: max-w-md card, vertically centered</t>
  </si>
  <si>
    <t xml:space="preserve">partial: max-w-md (448px) at all widths; no responsive prefixes</t>
  </si>
  <si>
    <t xml:space="preserve">• Root layout always renders TopNavDesktop + BottomNav (app/layout.tsx:53-55); no route hides nav, only scroll/keyboard/aria-modal (NavVisibilityProvider.tsx:16-28); nav visible during onboarding
• No step indicator although a second (metro) step follows (OnboardingFlow.tsx:77-95)
• Name step already writes primary_home (onboarding/actions.ts:88) and page.tsx:22 redirects anyone with a home to '/': abandon at metro step and it is never shown again
• Input uses class 'card' (OnboardingFlow.tsx:112) instead of 'input' like every other form
• Raw text-red-600 (:129)</t>
  </si>
  <si>
    <t xml:space="preserve">app/onboarding/page.tsx:7-45; components/onboarding/OnboardingFlow.tsx:97-147</t>
  </si>
  <si>
    <t xml:space="preserve">S104</t>
  </si>
  <si>
    <t xml:space="preserve">Onboarding: Where are you, and why? (metro waitlist)</t>
  </si>
  <si>
    <t xml:space="preserve">Pick metro + creator/patron role; joins waitlist</t>
  </si>
  <si>
    <t xml:space="preserve">card &gt; H1 'Where are you, and why?' &gt; helper &gt; label 'Where are you?' + metro select &gt; fieldset 'What brings you here?' (I make things / I'm here to find things) &gt; error &gt; 'Continue' charcoal pill</t>
  </si>
  <si>
    <t xml:space="preserve">yes: max-w-md</t>
  </si>
  <si>
    <t xml:space="preserve">partial: max-w-md only</t>
  </si>
  <si>
    <t xml:space="preserve">• Primary button style changes between the two steps: btn-primary accent (OnboardingFlow.tsx:140) vs bespoke charcoal-700 pill (MetroWaitlistStep.tsx:138)
• H1 and select label repeat 'Where are you' (OnboardingFlow.tsx:82 vs MetroWaitlistStep.tsx:89-91)
• Continue silently does nothing when metro/role missing (MetroWaitlistStep.tsx:46): no validation message; no Back, no Skip
• Creator vocabulary 'I make things' differs from Sell walkthrough 'What are we creating?' and nav 'Create'</t>
  </si>
  <si>
    <t xml:space="preserve">components/onboarding/OnboardingFlow.tsx:77-95; components/metro/MetroWaitlistStep.tsx:85-142</t>
  </si>
  <si>
    <t xml:space="preserve">S105</t>
  </si>
  <si>
    <t xml:space="preserve">MetroStandingDialog (waitlist count)</t>
  </si>
  <si>
    <t xml:space="preserve">Shows metro name, 'N of T' count and message</t>
  </si>
  <si>
    <t xml:space="preserve">Backdrop &gt; H2 metro name &gt; large count 'N of T' (optional) &gt; message &gt; 'Got it' charcoal pill</t>
  </si>
  <si>
    <t xml:space="preserve">yes: fixed inset-x-4 vertically centered</t>
  </si>
  <si>
    <t xml:space="preserve">partial: md:w-96 md:left-1/2 centered</t>
  </si>
  <si>
    <t xml:space="preserve">• Raw text-neutral-600 (:76,:80) mixed with charcoal tokens
• Initial focus only (:45-46), no focus trap</t>
  </si>
  <si>
    <t xml:space="preserve">components/metro/MetroStandingDialog.tsx:37-93</t>
  </si>
  <si>
    <t xml:space="preserve">S106</t>
  </si>
  <si>
    <t xml:space="preserve">Onboarding name error</t>
  </si>
  <si>
    <t xml:space="preserve">'Add your name.' or server message</t>
  </si>
  <si>
    <t xml:space="preserve">inline alert under input</t>
  </si>
  <si>
    <t xml:space="preserve">• Raw text-red-600 (:129)</t>
  </si>
  <si>
    <t xml:space="preserve">components/onboarding/OnboardingFlow.tsx:51-54,124-133</t>
  </si>
  <si>
    <t xml:space="preserve">S107</t>
  </si>
  <si>
    <t xml:space="preserve">Metro list failed to load</t>
  </si>
  <si>
    <t xml:space="preserve">Explains list load failure with Try again</t>
  </si>
  <si>
    <t xml:space="preserve">alert copy &gt; 'Try again' (reload)</t>
  </si>
  <si>
    <t xml:space="preserve">• 'Try again' reloads the page, but the name step already saved a home so onboarding/page.tsx:22 redirects to '/': the retry actually skips the step</t>
  </si>
  <si>
    <t xml:space="preserve">components/metro/MetroWaitlistStep.tsx:68-83</t>
  </si>
  <si>
    <t xml:space="preserve">S108</t>
  </si>
  <si>
    <t xml:space="preserve">Onboarding gate redirects</t>
  </si>
  <si>
    <t xml:space="preserve">Signed out -&gt; /auth/login?next=/onboarding; already has home -&gt; /</t>
  </si>
  <si>
    <t xml:space="preserve">• /you Settings links 'Your name and where you are' to /onboarding (app/you/page.tsx:240-247) but onboarded members are bounced to '/' (page.tsx:22): dead link, no profile edit exists</t>
  </si>
  <si>
    <t xml:space="preserve">app/onboarding/page.tsx:12,22</t>
  </si>
  <si>
    <t xml:space="preserve">Verified signed out: -&gt; /auth/login?next=/onboarding</t>
  </si>
  <si>
    <t xml:space="preserve">S109</t>
  </si>
  <si>
    <t xml:space="preserve">/qr</t>
  </si>
  <si>
    <t xml:space="preserve">QR redirect</t>
  </si>
  <si>
    <t xml:space="preserve">-&gt; /join (next.config.ts:19)</t>
  </si>
  <si>
    <t xml:space="preserve">S110</t>
  </si>
  <si>
    <t xml:space="preserve">/register-business</t>
  </si>
  <si>
    <t xml:space="preserve">Legacy register redirect</t>
  </si>
  <si>
    <t xml:space="preserve">-&gt; /you (next.config.ts:18)</t>
  </si>
  <si>
    <t xml:space="preserve">S111</t>
  </si>
  <si>
    <t xml:space="preserve">You (signed in)</t>
  </si>
  <si>
    <t xml:space="preserve">Member hub: identity, create CTA, own Pages, market, following, tabs</t>
  </si>
  <si>
    <t xml:space="preserve">NavYouBadge (md:hidden) &gt; H1 'You' + email &gt; SellCta row ('Your Page' + Sell) &gt; H2 'Your Pages' + OwnPages grid &gt; 'Your Market' row + Change &gt; FollowingSummary strip + More &gt; tabs Saved/Following/Settings &gt; tab panel</t>
  </si>
  <si>
    <t xml:space="preserve">yes: single column p-4 pb-24</t>
  </si>
  <si>
    <t xml:space="preserve">partial: max-w-3xl (768px) centered column; only md:hidden on the badge (page.tsx:120); OwnPages CardGrid auto-fills columns (CardGrid.tsx:48); no lg/xl layout or side column above 1024</t>
  </si>
  <si>
    <t xml:space="preserve">• Following appears twice: FollowingSummary (page.tsx:166) AND a 'Following' tab that always says 'Nothing followed yet' (page.tsx:194,209-215): contradictory on one screen
• 'Saved' tab is permanently empty (page.tsx:193): dead tab
• Settings incl. Sign out hidden behind third tab at the bottom (page.tsx:195-197,257); sign-out also in NavYouBadge: two sign-out controls
• Create naming drift on one screen: eyebrow 'Your Page' + button 'Sell' (SellCta.tsx:162,205-208), section 'Your Pages', OwnPages empty 'Tap Create', nav 'Create' (BottomNav.tsx:39)
• 'Your Market' row (retired concept) sits between Your Pages and Following (page.tsx:143-162): illogical order
• role=tablist on &lt;nav&gt; with no tabpanel/aria-controls (page.tsx:168-190)
• Raw neutral-* colours (page.tsx:126,143,145,147,151,183)
• Unused EmptyState component (page.tsx:264-276)</t>
  </si>
  <si>
    <t xml:space="preserve">app/you/page.tsx:115-202</t>
  </si>
  <si>
    <t xml:space="preserve">S112</t>
  </si>
  <si>
    <t xml:space="preserve">You (loading)</t>
  </si>
  <si>
    <t xml:space="preserve">Plain 'Loading...' while client auth resolves</t>
  </si>
  <si>
    <t xml:space="preserve">'Loading...' text</t>
  </si>
  <si>
    <t xml:space="preserve">no: unstyled p-4</t>
  </si>
  <si>
    <t xml:space="preserve">• Whole page is client-fetched with bare text loader, no skeleton</t>
  </si>
  <si>
    <t xml:space="preserve">app/you/page.tsx:25,92</t>
  </si>
  <si>
    <t xml:space="preserve">S113</t>
  </si>
  <si>
    <t xml:space="preserve">You (signed out)</t>
  </si>
  <si>
    <t xml:space="preserve">Prompt to sign in + business-owner link</t>
  </si>
  <si>
    <t xml:space="preserve">H1 'You' &gt; 'Sign in to follow vendors and save your market...' &gt; 'Sign in' btn-primary &gt; divider &gt; 'ARE YOU A BUSINESS OWNER?' &gt; 'List your business -&gt;' outline pill</t>
  </si>
  <si>
    <t xml:space="preserve">yes: max-w-md centered</t>
  </si>
  <si>
    <t xml:space="preserve">• Copy uses retired 'vendors'/'market' terms (page.tsx:98) though vendors are retired (page.tsx:55-58)
• 'List your business' (/join) vs 'Create'/'Sell'/'Page' elsewhere for the same create action
• Sign in link lacks ?next=/you (page.tsx:100)
• Outline pill hand-rolled (page.tsx:106) instead of btn-secondary</t>
  </si>
  <si>
    <t xml:space="preserve">app/you/page.tsx:94-113</t>
  </si>
  <si>
    <t xml:space="preserve">Verified 390/1440: 448px column; copy "Sign in to follow vendors and save your market" + "ARE YOU A BUSINESS OWNER? List your business →" (retired vendor language)</t>
  </si>
  <si>
    <t xml:space="preserve">S114</t>
  </si>
  <si>
    <t xml:space="preserve">Sell CTA row</t>
  </si>
  <si>
    <t xml:space="preserve">Entry to Sell walkthrough (fresh/resume) or /you/sell when an active shop exists</t>
  </si>
  <si>
    <t xml:space="preserve">Eyebrow 'Your Page' &gt; status line &gt; 'Sell' / 'Continue setting up your Page' btn-primary (disabled 'Sell' while loading)</t>
  </si>
  <si>
    <t xml:space="preserve">partial: flex justify-between with no wrap; long resume label crowds text at 375px</t>
  </si>
  <si>
    <t xml:space="preserve">partial: inherits /you max-w-3xl</t>
  </si>
  <si>
    <t xml:space="preserve">• Button 'Sell' for a flow whose dialog is 'Create something' and whose steps say 'Name your &lt;noun&gt;' (SellWalkthrough.tsx:486,225)
• Comment says 'Continue setting up your shop' (:123) but code says 'Page' (:207): term drift
• Active-shop branch routes to /you/sell while OwnPages directly below already lists the Pages</t>
  </si>
  <si>
    <t xml:space="preserve">components/sell/SellCta.tsx:126-173</t>
  </si>
  <si>
    <t xml:space="preserve">S115</t>
  </si>
  <si>
    <t xml:space="preserve">Your Pages grid</t>
  </si>
  <si>
    <t xml:space="preserve">Tiles of member-owned Pages with Draft/Live label</t>
  </si>
  <si>
    <t xml:space="preserve">CardGrid of TileCard (photo, name, tagline, location, Draft/Live label)</t>
  </si>
  <si>
    <t xml:space="preserve">yes: 1 column</t>
  </si>
  <si>
    <t xml:space="preserve">yes: auto-fill minmax(15rem) columns inside max-w-3xl (about 3 cols)</t>
  </si>
  <si>
    <t xml:space="preserve">none (CSS grid auto-fill)</t>
  </si>
  <si>
    <t xml:space="preserve">• No Edit action to /g/[handle]/edit from the tile (OwnPages.tsx:46-52)
• Draft tile has no 'Continue' action; resume lives in the SellCta row above</t>
  </si>
  <si>
    <t xml:space="preserve">components/member/OwnPages.tsx:43-75; components/cards/CardGrid.tsx:48</t>
  </si>
  <si>
    <t xml:space="preserve">S116</t>
  </si>
  <si>
    <t xml:space="preserve">Following summary strip</t>
  </si>
  <si>
    <t xml:space="preserve">Horizontal scroll of followed people/groups/venues + More</t>
  </si>
  <si>
    <t xml:space="preserve">H2 'Following' + 'More' link &gt; snap-x scroll of FollowCards</t>
  </si>
  <si>
    <t xml:space="preserve">yes: horizontal snap scroll</t>
  </si>
  <si>
    <t xml:space="preserve">partial: still a horizontal scroller at desktop inside max-w-3xl</t>
  </si>
  <si>
    <t xml:space="preserve">• Hidden entirely when empty (:35) while the Following tab below says 'Nothing followed yet'
• 'More' is vague vs destination title 'Following'</t>
  </si>
  <si>
    <t xml:space="preserve">components/follows/FollowingSummary.tsx:17-59</t>
  </si>
  <si>
    <t xml:space="preserve">S117</t>
  </si>
  <si>
    <t xml:space="preserve">Sell success toast</t>
  </si>
  <si>
    <t xml:space="preserve">'Your &lt;noun&gt; is live.' after the walkthrough</t>
  </si>
  <si>
    <t xml:space="preserve">fixed pill bottom-20</t>
  </si>
  <si>
    <t xml:space="preserve">partial: fixed centered</t>
  </si>
  <si>
    <t xml:space="preserve">• Bespoke toast (SellCta.tsx:191-198) instead of shared components/Toast.tsx; fired right after redirect (SellWalkthrough.tsx:465-466), so likely never seen</t>
  </si>
  <si>
    <t xml:space="preserve">components/sell/SellCta.tsx:190-199</t>
  </si>
  <si>
    <t xml:space="preserve">S118</t>
  </si>
  <si>
    <t xml:space="preserve">Sell walkthrough: What are we creating?</t>
  </si>
  <si>
    <t xml:space="preserve">Pick purpose (noun) for the new Page</t>
  </si>
  <si>
    <t xml:space="preserve">Dots + 'Step 1 of 6' + X &gt; H3 title &gt; helper &gt; radio cards (purpose choices) &gt; field error &gt; footer: Continue</t>
  </si>
  <si>
    <t xml:space="preserve">yes: bottom sheet max-h-90vh, footer pinned</t>
  </si>
  <si>
    <t xml:space="preserve">partial: bottom sheet on phone; md:items-center md:max-w-lg (512px) dialog with md:p-4 md:rounded-2xl; nothing at lg/xl</t>
  </si>
  <si>
    <t xml:space="preserve">• Three names for one flow: CTA 'Sell', dialog aria-label 'Create something' (:486), step 'What are we creating?'
• Selected style charcoal-700 filled (:197-199) vs anchor step accent-tint (:655-658) vs Gathering kind accent-tint aria-pressed (GatheringComposer.tsx:157-164): three single-choice patterns
• Step title is H3 with no H2 in the dialog (MultiStepComposer.tsx:214)
• Tap-outside disabled; only X abandons (MultiStepComposer.tsx:170-178), with no note that a draft is kept</t>
  </si>
  <si>
    <t xml:space="preserve">components/sell/SellWalkthrough.tsx:185-220; components/composer/MultiStepComposer.tsx:184-304</t>
  </si>
  <si>
    <t xml:space="preserve">S119</t>
  </si>
  <si>
    <t xml:space="preserve">Sell walkthrough: Name your &lt;noun&gt;</t>
  </si>
  <si>
    <t xml:space="preserve">Enter Page name; creates the draft Group</t>
  </si>
  <si>
    <t xml:space="preserve">Dots &gt; H3 'Name your ...' &gt; helper &gt; 'Name' input &gt; error &gt; Back / Continue</t>
  </si>
  <si>
    <t xml:space="preserve">• Same field labelled 'Brand' on Review (:332) and 'Name' on Edit (EditPageForm.tsx:149)</t>
  </si>
  <si>
    <t xml:space="preserve">components/sell/SellWalkthrough.tsx:222-243</t>
  </si>
  <si>
    <t xml:space="preserve">S120</t>
  </si>
  <si>
    <t xml:space="preserve">Sell walkthrough: Anchor Location</t>
  </si>
  <si>
    <t xml:space="preserve">Pick or add the Page's base location</t>
  </si>
  <si>
    <t xml:space="preserve">Dots &gt; H3 'Anchor Location' &gt; helper 'Where is your ... primarily based?' &gt; listbox of saved Locations &gt; '+ Add a new Location' dashed row &gt; error &gt; Back / Continue</t>
  </si>
  <si>
    <t xml:space="preserve">• Jargon title 'Anchor Location' (:248) vs Edit page 'Address' (EditPageForm.tsx:174) for the same field
• role=listbox with &lt;button role=option&gt; inside &lt;li&gt; (:633-647): non-standard listbox
• Raw neutral-200/300/50 (:658,:676)</t>
  </si>
  <si>
    <t xml:space="preserve">components/sell/SellWalkthrough.tsx:245-262,609-681</t>
  </si>
  <si>
    <t xml:space="preserve">S121</t>
  </si>
  <si>
    <t xml:space="preserve">Sell walkthrough: What you do (tags)</t>
  </si>
  <si>
    <t xml:space="preserve">Add free-text tags</t>
  </si>
  <si>
    <t xml:space="preserve">Dots &gt; H3 'What you do' &gt; helper &gt; label 'What you do' &gt; tag chips with x &gt; text input &gt; 'Add' text button &gt; error &gt; Back / Continue</t>
  </si>
  <si>
    <t xml:space="preserve">• Field label repeats the H3 verbatim (:267 vs :545)
• Chips render ABOVE the input that creates them (:548-567)
• Tags not saved to the draft (:433-438) and reset on resume (:171); Review step omits tags (:330-362)
• Raw neutral-300/500/900 (:552,:559)</t>
  </si>
  <si>
    <t xml:space="preserve">components/sell/SellWalkthrough.tsx:264-280,515-603</t>
  </si>
  <si>
    <t xml:space="preserve">S122</t>
  </si>
  <si>
    <t xml:space="preserve">Sell walkthrough: About (+photo, links)</t>
  </si>
  <si>
    <t xml:space="preserve">Optional description, photo, social links</t>
  </si>
  <si>
    <t xml:space="preserve">Dots &gt; H3 'About' &gt; helper &gt; label 'About' + textarea &gt; PagePhotoPicker ('Photo' + Choose a photo) &gt; SocialLinksFields &gt; Back / 'Skip this step' / Continue</t>
  </si>
  <si>
    <t xml:space="preserve">partial: three sub-forms in one step means a long scroll inside the 90vh sheet</t>
  </si>
  <si>
    <t xml:space="preserve">• Whole step wrapped in one &lt;label&gt; (:289-316) containing photo buttons and link inputs: invalid nested interactive content
• Titled 'About' but also holds Photo and Links
• Skip (role=link button) beside Continue: two forward actions (MultiStepComposer.tsx:274-282)
• Creation uses SocialLinksFields (URLs) while Edit uses SocialHandleFields (handles) (EditPageForm.tsx:228)</t>
  </si>
  <si>
    <t xml:space="preserve">components/sell/SellWalkthrough.tsx:282-319; components/media/PagePhotoPicker.tsx:58-113; components/group/SocialLinksFields.tsx</t>
  </si>
  <si>
    <t xml:space="preserve">S123</t>
  </si>
  <si>
    <t xml:space="preserve">Sell walkthrough: Review</t>
  </si>
  <si>
    <t xml:space="preserve">Confirm details then 'Create my &lt;noun&gt;'</t>
  </si>
  <si>
    <t xml:space="preserve">Dots &gt; H3 'Review' &gt; list Brand / Anchor Location / Links / Photo / About &gt; PostingSafetyNote &gt; Back / 'Create my ...'</t>
  </si>
  <si>
    <t xml:space="preserve">• Lists 'Brand' (:332) though the step said 'Name'; omits Tags
• On resume anchorLocationLabel is null (SellCta.tsx:216) so Review shows '(set)' (:336)
• No edit-in-place links; must Back through steps
• Final CTA 'Create my ...' vs 'Publish product/service/gathering' in sibling composers (ProductComposer.tsx:255)</t>
  </si>
  <si>
    <t xml:space="preserve">components/sell/SellWalkthrough.tsx:323-365; components/PostingSafetyNote.tsx</t>
  </si>
  <si>
    <t xml:space="preserve">S124</t>
  </si>
  <si>
    <t xml:space="preserve">MarketSelector sheet</t>
  </si>
  <si>
    <t xml:space="preserve">Pick a market (Near You / Other Markets)</t>
  </si>
  <si>
    <t xml:space="preserve">H2 &gt; 'Near You' list &gt; 'Other Markets' list</t>
  </si>
  <si>
    <t xml:space="preserve">partial: md:max-w-lg centered dialog</t>
  </si>
  <si>
    <t xml:space="preserve">• Retired 'market' concept still surfaced from /you (page.tsx:143-162,200)
• Raw neutral-500 headings (MarketSelector.tsx:146,153)</t>
  </si>
  <si>
    <t xml:space="preserve">components/MarketSelector.tsx:113-160; app/you/page.tsx:200</t>
  </si>
  <si>
    <t xml:space="preserve">S125</t>
  </si>
  <si>
    <t xml:space="preserve">Add a Location drawer</t>
  </si>
  <si>
    <t xml:space="preserve">Inline-create a Location (name + place) over the composer</t>
  </si>
  <si>
    <t xml:space="preserve">H2 'Add a Location' + X &gt; 'Location name' input &gt; LocationPlaceFields &gt; errors &gt; Cancel / Save</t>
  </si>
  <si>
    <t xml:space="preserve">yes: second stacked sheet (z-60 over z-50)</t>
  </si>
  <si>
    <t xml:space="preserve">partial: md:max-w-md (448px) dialog over md:max-w-lg composer</t>
  </si>
  <si>
    <t xml:space="preserve">• Same drawer copy-pasted in ProductComposer.tsx:394 and ServiceComposer.tsx:431
• Dialog-on-dialog stack on phone</t>
  </si>
  <si>
    <t xml:space="preserve">components/sell/SellWalkthrough.tsx:683-753; components/composer/AddEntityDrawer.tsx:143-235</t>
  </si>
  <si>
    <t xml:space="preserve">S126</t>
  </si>
  <si>
    <t xml:space="preserve">Your Pages (loading/empty)</t>
  </si>
  <si>
    <t xml:space="preserve">Loading and no-Pages copy</t>
  </si>
  <si>
    <t xml:space="preserve">'Loading your Pages...' | 'You haven't made a Page yet. Tap Create to start one.'</t>
  </si>
  <si>
    <t xml:space="preserve">• Points to nav Create, which goes to /you/sell (BottomNav.tsx:39), which redirects members with no shop back to /you (you/sell/page.tsx:111-113): a loop; the working entry is the 'Sell' button on the same page
• 'Tap' wording on desktop; no button in the empty state</t>
  </si>
  <si>
    <t xml:space="preserve">components/member/OwnPages.tsx:27-41</t>
  </si>
  <si>
    <t xml:space="preserve">S127</t>
  </si>
  <si>
    <t xml:space="preserve">Composer field/submit errors</t>
  </si>
  <si>
    <t xml:space="preserve">Field errors under the step + submit error row above footer</t>
  </si>
  <si>
    <t xml:space="preserve">field-error-* lines &gt; submit error row</t>
  </si>
  <si>
    <t xml:space="preserve">• Field errors render after the whole step body, not beside their field (:230-238): below the fold on long steps
• Raw text-red-600 (:234,:247)</t>
  </si>
  <si>
    <t xml:space="preserve">components/composer/MultiStepComposer.tsx:230-251</t>
  </si>
  <si>
    <t xml:space="preserve">S128</t>
  </si>
  <si>
    <t xml:space="preserve">/you/following</t>
  </si>
  <si>
    <t xml:space="preserve">Following (manage)</t>
  </si>
  <si>
    <t xml:space="preserve">Everything you follow, grouped, with Unfollow/Leave</t>
  </si>
  <si>
    <t xml:space="preserve">H1 'Following' &gt; subcopy &gt; sections People / Groups / Venues: rows (avatar, name link, member count, Unfollow|Leave)</t>
  </si>
  <si>
    <t xml:space="preserve">partial: max-w-2xl (672px) single column; no responsive prefixes</t>
  </si>
  <si>
    <t xml:space="preserve">• No back link to /you (BottomNav marks You active, BottomNav.tsx:14)
• Destructive action in text-red-700 (FollowingManager.tsx:149), no confirm, relies on Undo
• Section 'Groups' while the rest of the app says 'Pages'/'shops'
• Raw neutral-* (:100,:108,:116,:123,:190)</t>
  </si>
  <si>
    <t xml:space="preserve">app/you/following/page.tsx:19-38; components/follows/FollowingManager.tsx:183-204</t>
  </si>
  <si>
    <t xml:space="preserve">Verified signed out: -&gt; /auth/login?next=/you/following</t>
  </si>
  <si>
    <t xml:space="preserve">S129</t>
  </si>
  <si>
    <t xml:space="preserve">Follow row removed (Undo)</t>
  </si>
  <si>
    <t xml:space="preserve">Optimistic removal with Undo window</t>
  </si>
  <si>
    <t xml:space="preserve">row &gt; 'Undo' link</t>
  </si>
  <si>
    <t xml:space="preserve">• Row looks unchanged while removed; only the button flips</t>
  </si>
  <si>
    <t xml:space="preserve">components/follows/FollowingManager.tsx:67-92,134-143</t>
  </si>
  <si>
    <t xml:space="preserve">S130</t>
  </si>
  <si>
    <t xml:space="preserve">Following empty</t>
  </si>
  <si>
    <t xml:space="preserve">No follows + Explore CTA</t>
  </si>
  <si>
    <t xml:space="preserve">dashed box &gt; 'Nothing followed yet - start exploring.' &gt; 'Explore -&gt;' pill</t>
  </si>
  <si>
    <t xml:space="preserve">• Hand-rolled accent pill (:175) instead of btn-primary</t>
  </si>
  <si>
    <t xml:space="preserve">components/follows/FollowingManager.tsx:166-181</t>
  </si>
  <si>
    <t xml:space="preserve">S131</t>
  </si>
  <si>
    <t xml:space="preserve">Follow row error</t>
  </si>
  <si>
    <t xml:space="preserve">Unfollow/undo failure message</t>
  </si>
  <si>
    <t xml:space="preserve">inline red text under name</t>
  </si>
  <si>
    <t xml:space="preserve">• Raw text-red-600 (:128)</t>
  </si>
  <si>
    <t xml:space="preserve">components/follows/FollowingManager.tsx:127-131</t>
  </si>
  <si>
    <t xml:space="preserve">S132</t>
  </si>
  <si>
    <t xml:space="preserve">/you/sell</t>
  </si>
  <si>
    <t xml:space="preserve">Your shops (sell index)</t>
  </si>
  <si>
    <t xml:space="preserve">For members with active business Pages: per-shop Add product/service/gathering</t>
  </si>
  <si>
    <t xml:space="preserve">H1 'Your shops' &gt; helper &gt; rows: shop name + 'Active shop' | [Add a product][Add a service][Host a gathering] &gt; footnote 'Multi-owner partnership Groups land in b2.'</t>
  </si>
  <si>
    <t xml:space="preserve">no: each row is flex justify-between with three btn-secondary buttons and no wrap (page.tsx:132,138-154); crushes the name at 375px</t>
  </si>
  <si>
    <t xml:space="preserve">partial: max-w-3xl centered; no responsive prefixes</t>
  </si>
  <si>
    <t xml:space="preserve">• Nav 'Create' points here (BottomNav.tsx:39) but members without an active shop are redirected to /you (page.tsx:111-113): primary create action bounces
• Term drift: 'shops' here vs 'Pages' on /you vs 'Sell' CTA vs 'Create' nav
• Internal roadmap note shown to users (page.tsx:159-161)
• No link to view/edit each shop; no back to /you
• Raw neutral-* (:132,:136,:159)</t>
  </si>
  <si>
    <t xml:space="preserve">app/you/sell/page.tsx:63-164</t>
  </si>
  <si>
    <t xml:space="preserve">Verified signed out: -&gt; /auth/login?next=/you/sell</t>
  </si>
  <si>
    <t xml:space="preserve">S133</t>
  </si>
  <si>
    <t xml:space="preserve">Add product / Add service / Host a gathering buttons</t>
  </si>
  <si>
    <t xml:space="preserve">Open the matching composer for a shop</t>
  </si>
  <si>
    <t xml:space="preserve">btn-secondary 'Add a product' | 'Add a service' | 'Host a gathering'</t>
  </si>
  <si>
    <t xml:space="preserve">no: three inline buttons per row overflow on phone</t>
  </si>
  <si>
    <t xml:space="preserve">• Three near-identical files (AddProductButton vs AddServiceButton differ only in names)
• Each carries its own bespoke toast</t>
  </si>
  <si>
    <t xml:space="preserve">components/sell/AddProductButton.tsx:47-82; components/sell/AddServiceButton.tsx; components/sell/AddGatheringButton.tsx:45-77</t>
  </si>
  <si>
    <t xml:space="preserve">S134</t>
  </si>
  <si>
    <t xml:space="preserve">Add-item success toast</t>
  </si>
  <si>
    <t xml:space="preserve">Post-publish confirmation</t>
  </si>
  <si>
    <t xml:space="preserve">fixed pill bottom-4</t>
  </si>
  <si>
    <t xml:space="preserve">partial: bottom-4 with no z-index sits under the z-40 BottomNav on phone</t>
  </si>
  <si>
    <t xml:space="preserve">• Three bespoke toasts at bottom-4 vs SellCta toast bottom-20 vs shared Toast.tsx bottom-20 z-50
• Raw bg-neutral-900 (AddProductButton.tsx:76)
• Shown after router.push away, likely unmounted before seen</t>
  </si>
  <si>
    <t xml:space="preserve">components/sell/AddProductButton.tsx:72-80; components/sell/AddServiceButton.tsx; components/sell/AddGatheringButton.tsx:68-76</t>
  </si>
  <si>
    <t xml:space="preserve">S135</t>
  </si>
  <si>
    <t xml:space="preserve">Product composer: Add a product (details)</t>
  </si>
  <si>
    <t xml:space="preserve">Title, description, free toggle, price + unit</t>
  </si>
  <si>
    <t xml:space="preserve">Dots 'Step 1 of 4' &gt; H3 'Add a product' &gt; 'What are you selling?' &gt; Title &gt; Description &gt; 'This is free' checkbox &gt; Price + Unit &gt; errors &gt; Continue</t>
  </si>
  <si>
    <t xml:space="preserve">• 'Title' here vs 'Name' for Pages
• Three different 'free' patterns: checkbox here, 'mark it free' in Service, empty cost = Free in Gathering (GatheringComposer.tsx:300)</t>
  </si>
  <si>
    <t xml:space="preserve">components/sell/ProductComposer.tsx:115-209; components/composer/MultiStepComposer.tsx:184-304</t>
  </si>
  <si>
    <t xml:space="preserve">S136</t>
  </si>
  <si>
    <t xml:space="preserve">Product composer: Pickup point</t>
  </si>
  <si>
    <t xml:space="preserve">Pick/add pickup Location</t>
  </si>
  <si>
    <t xml:space="preserve">Dots &gt; H3 'Pickup point' &gt; helper &gt; location options (anchor only) &gt; '+ Add a new ...' &gt; error &gt; Back / Continue</t>
  </si>
  <si>
    <t xml:space="preserve">• Only the shop anchor is offered (AddProductButton.tsx:43-45): other saved Locations missing
• 'Pickup point' opens a drawer titled 'Add a Location' (:395)</t>
  </si>
  <si>
    <t xml:space="preserve">components/sell/ProductComposer.tsx:210-226,323-392</t>
  </si>
  <si>
    <t xml:space="preserve">S137</t>
  </si>
  <si>
    <t xml:space="preserve">Product composer: Where is this made? (placeholder)</t>
  </si>
  <si>
    <t xml:space="preserve">Optional Locally Made claim, not implemented</t>
  </si>
  <si>
    <t xml:space="preserve">Dots &gt; H3 &gt; helper &gt; dashed box saying the feature ships later &gt; Back / Skip / Continue</t>
  </si>
  <si>
    <t xml:space="preserve">• Dead step: no input, only a note telling the user to skip (:236-246)
• Review shows 'Locally Made: (skipped)' even when Continue was pressed (:281-284)</t>
  </si>
  <si>
    <t xml:space="preserve">components/sell/ProductComposer.tsx:228-248</t>
  </si>
  <si>
    <t xml:space="preserve">S138</t>
  </si>
  <si>
    <t xml:space="preserve">Product composer: Review</t>
  </si>
  <si>
    <t xml:space="preserve">Confirm then 'Publish product'</t>
  </si>
  <si>
    <t xml:space="preserve">Dots &gt; H3 'Review' &gt; Title / Price / Pickup / Locally Made &gt; PostingSafetyNote &gt; Back / 'Publish product'</t>
  </si>
  <si>
    <t xml:space="preserve">• Description omitted from review
• '(set)' placeholder when pickup label missing (:278)</t>
  </si>
  <si>
    <t xml:space="preserve">components/sell/ProductComposer.tsx:250-288</t>
  </si>
  <si>
    <t xml:space="preserve">S139</t>
  </si>
  <si>
    <t xml:space="preserve">Service composer: Add a service (details)</t>
  </si>
  <si>
    <t xml:space="preserve">Title + description</t>
  </si>
  <si>
    <t xml:space="preserve">Dots &gt; H3 'Add a service' &gt; helper &gt; Title &gt; Description &gt; Continue</t>
  </si>
  <si>
    <t xml:space="preserve">components/sell/ServiceComposer.tsx:127-171</t>
  </si>
  <si>
    <t xml:space="preserve">S140</t>
  </si>
  <si>
    <t xml:space="preserve">Service composer: Pricing</t>
  </si>
  <si>
    <t xml:space="preserve">Rate model select, free toggle, rate</t>
  </si>
  <si>
    <t xml:space="preserve">Dots &gt; H3 'Pricing' &gt; rate model select &gt; free checkbox &gt; rate input &gt; error &gt; Back / Continue</t>
  </si>
  <si>
    <t xml:space="preserve">• Product puts price on the details step; Service gives it its own step: sibling composers structured differently</t>
  </si>
  <si>
    <t xml:space="preserve">components/sell/ServiceComposer.tsx:172-243</t>
  </si>
  <si>
    <t xml:space="preserve">S141</t>
  </si>
  <si>
    <t xml:space="preserve">Service composer: Service area</t>
  </si>
  <si>
    <t xml:space="preserve">Center location + travel radius</t>
  </si>
  <si>
    <t xml:space="preserve">Dots &gt; H3 'Service area' &gt; helper &gt; center location options + '+ Add a new' &gt; radius (miles) &gt; errors &gt; Back / Continue</t>
  </si>
  <si>
    <t xml:space="preserve">• Location picker re-implemented a third time (:345+)</t>
  </si>
  <si>
    <t xml:space="preserve">components/sell/ServiceComposer.tsx:244-266,345-460</t>
  </si>
  <si>
    <t xml:space="preserve">S142</t>
  </si>
  <si>
    <t xml:space="preserve">Service composer: Review</t>
  </si>
  <si>
    <t xml:space="preserve">Confirm then 'Publish service'</t>
  </si>
  <si>
    <t xml:space="preserve">Dots &gt; H3 'Review' &gt; Title / Pricing / Center / Travels &gt; safety note &gt; Back / 'Publish service'</t>
  </si>
  <si>
    <t xml:space="preserve">• '(set)' placeholders when values missing (:296,:300)
• Description omitted</t>
  </si>
  <si>
    <t xml:space="preserve">components/sell/ServiceComposer.tsx:268-310</t>
  </si>
  <si>
    <t xml:space="preserve">S143</t>
  </si>
  <si>
    <t xml:space="preserve">Gathering composer: Host a gathering (kind)</t>
  </si>
  <si>
    <t xml:space="preserve">Pick one-time / recurring / open meetup</t>
  </si>
  <si>
    <t xml:space="preserve">Dots &gt; H3 'Host a gathering' &gt; helper &gt; kind option buttons (label + sub) &gt; error &gt; Continue</t>
  </si>
  <si>
    <t xml:space="preserve">• aria-pressed buttons (:157) vs radio inputs in Sell purpose step for the same single-choice pattern
• Raw neutral-200/50 (:163)</t>
  </si>
  <si>
    <t xml:space="preserve">components/sell/GatheringComposer.tsx:144-179</t>
  </si>
  <si>
    <t xml:space="preserve">S144</t>
  </si>
  <si>
    <t xml:space="preserve">Gathering composer: Details</t>
  </si>
  <si>
    <t xml:space="preserve">Dots &gt; H3 'Details' &gt; Title &gt; Description &gt; Back / Continue</t>
  </si>
  <si>
    <t xml:space="preserve">• Titled 'Details' while product/service detail steps are titled 'Add a ...'</t>
  </si>
  <si>
    <t xml:space="preserve">components/sell/GatheringComposer.tsx:181-221</t>
  </si>
  <si>
    <t xml:space="preserve">S145</t>
  </si>
  <si>
    <t xml:space="preserve">Gathering composer: When</t>
  </si>
  <si>
    <t xml:space="preserve">Date/time (or open-meetup note), capacity, cost, what to bring</t>
  </si>
  <si>
    <t xml:space="preserve">Dots &gt; H3 'When' &gt; (open-meetup note | Date + Time) &gt; Capacity &gt; Cost &gt; What to bring &gt; errors &gt; Back / Continue</t>
  </si>
  <si>
    <t xml:space="preserve">partial: 5+ fields in the sheet</t>
  </si>
  <si>
    <t xml:space="preserve">• Capacity/cost/what-to-bring live under a step titled 'When'
• No location step: venue fixed to shop anchor and first shown at Review (:361)</t>
  </si>
  <si>
    <t xml:space="preserve">components/sell/GatheringComposer.tsx:222-330</t>
  </si>
  <si>
    <t xml:space="preserve">S146</t>
  </si>
  <si>
    <t xml:space="preserve">Gathering composer: Review</t>
  </si>
  <si>
    <t xml:space="preserve">Confirm then 'Publish gathering'</t>
  </si>
  <si>
    <t xml:space="preserve">Dots &gt; H3 'Review' &gt; Kind / Title / When / Cost / Where &gt; safety note &gt; Back / 'Publish gathering'</t>
  </si>
  <si>
    <t xml:space="preserve">• 'Where' appears for the first time on Review; the user never chose it</t>
  </si>
  <si>
    <t xml:space="preserve">components/sell/GatheringComposer.tsx:334-366</t>
  </si>
  <si>
    <t xml:space="preserve">S147</t>
  </si>
  <si>
    <t xml:space="preserve">Product composer: Add a Location drawer</t>
  </si>
  <si>
    <t xml:space="preserve">Create pickup Location</t>
  </si>
  <si>
    <t xml:space="preserve">H2 &gt; Location name &gt; LocationPlaceFields &gt; Cancel / Save</t>
  </si>
  <si>
    <t xml:space="preserve">partial: md:max-w-md</t>
  </si>
  <si>
    <t xml:space="preserve">• Copy of SellWalkthrough.tsx:683-753</t>
  </si>
  <si>
    <t xml:space="preserve">components/sell/ProductComposer.tsx:394-430; components/composer/AddEntityDrawer.tsx</t>
  </si>
  <si>
    <t xml:space="preserve">S148</t>
  </si>
  <si>
    <t xml:space="preserve">Service composer: Add a Location drawer</t>
  </si>
  <si>
    <t xml:space="preserve">Create center Location</t>
  </si>
  <si>
    <t xml:space="preserve">H2 &gt; name &gt; LocationPlaceFields &gt; Cancel / Save</t>
  </si>
  <si>
    <t xml:space="preserve">• Duplicate of walkthrough/product drawer</t>
  </si>
  <si>
    <t xml:space="preserve">components/sell/ServiceComposer.tsx:431-470</t>
  </si>
  <si>
    <t xml:space="preserve">S149</t>
  </si>
  <si>
    <t xml:space="preserve">Sell index redirects</t>
  </si>
  <si>
    <t xml:space="preserve">Signed out -&gt; login; no active shop -&gt; /you</t>
  </si>
  <si>
    <t xml:space="preserve">• Silent redirect to /you with no explanation after tapping Create</t>
  </si>
  <si>
    <t xml:space="preserve">app/you/sell/page.tsx:66-68,111-113</t>
  </si>
  <si>
    <t xml:space="preserve">S150</t>
  </si>
  <si>
    <t xml:space="preserve">/you?tab=following</t>
  </si>
  <si>
    <t xml:space="preserve">Following tab (empty)</t>
  </si>
  <si>
    <t xml:space="preserve">Always-empty followed list</t>
  </si>
  <si>
    <t xml:space="preserve">'Nothing followed yet.'</t>
  </si>
  <si>
    <t xml:space="preserve">• Contradicts FollowingSummary and /you/following
• No link to /you/following</t>
  </si>
  <si>
    <t xml:space="preserve">app/you/page.tsx:194,209-215</t>
  </si>
  <si>
    <t xml:space="preserve">S151</t>
  </si>
  <si>
    <t xml:space="preserve">/you?tab=saved</t>
  </si>
  <si>
    <t xml:space="preserve">Saved tab (empty)</t>
  </si>
  <si>
    <t xml:space="preserve">Always-empty saved list</t>
  </si>
  <si>
    <t xml:space="preserve">'Nothing saved yet.'</t>
  </si>
  <si>
    <t xml:space="preserve">• Dead tab with no data source (page.tsx:205-208) and no CTA</t>
  </si>
  <si>
    <t xml:space="preserve">app/you/page.tsx:193,209-215</t>
  </si>
  <si>
    <t xml:space="preserve">S152</t>
  </si>
  <si>
    <t xml:space="preserve">/you?tab=settings</t>
  </si>
  <si>
    <t xml:space="preserve">Settings tab</t>
  </si>
  <si>
    <t xml:space="preserve">Profile link, email notification toggle, sign out</t>
  </si>
  <si>
    <t xml:space="preserve">H2 'Profile' &gt; link 'Your name and where you are' &gt; H2 'Notifications' &gt; toggle 'Email me when followed vendors are at upcoming markets' &gt; 'Sign out' underline</t>
  </si>
  <si>
    <t xml:space="preserve">partial: full-width rows inside max-w-3xl</t>
  </si>
  <si>
    <t xml:space="preserve">• Profile link is a dead end: /onboarding redirects onboarded members to '/' (onboarding/page.tsx:22)
• Notification copy refers to retired vendors/markets (page.tsx:253)
• Toggle write has no error or confirmation (page.tsx:76-84)
• Sign out duplicated with NavYouBadge (page.tsx:120-122)</t>
  </si>
  <si>
    <t xml:space="preserve">app/you/page.tsx:217-262</t>
  </si>
  <si>
    <t xml:space="preserve">All rows</t>
  </si>
  <si>
    <t xml:space="preserve">Pages</t>
  </si>
  <si>
    <t xml:space="preserve">Overlays (modal/sheet/drawer)</t>
  </si>
  <si>
    <t xml:space="preserve">Wizard steps</t>
  </si>
  <si>
    <t xml:space="preserve">States</t>
  </si>
  <si>
    <t xml:space="preserve">Empty + error</t>
  </si>
  <si>
    <t xml:space="preserve">Verified in prod</t>
  </si>
  <si>
    <t xml:space="preserve">Total</t>
  </si>
  <si>
    <t xml:space="preserve">Rows</t>
  </si>
  <si>
    <t xml:space="preserve">Primary screen</t>
  </si>
  <si>
    <t xml:space="preserve">Content max width (px)</t>
  </si>
  <si>
    <t xml:space="preserve">How it lays out above phone</t>
  </si>
  <si>
    <t xml:space="preserve">6" phone: % of width used</t>
  </si>
  <si>
    <t xml:space="preserve">8" tablet: % of width used</t>
  </si>
  <si>
    <t xml:space="preserve">11" tablet: % of width used</t>
  </si>
  <si>
    <t xml:space="preserve">13" laptop: % of width used</t>
  </si>
  <si>
    <t xml:space="preserve">15" laptop: % of width used</t>
  </si>
  <si>
    <t xml:space="preserve">16" laptop: % of width used</t>
  </si>
  <si>
    <t xml:space="preserve">27" monitor: % of width used</t>
  </si>
  <si>
    <t xml:space="preserve">Viewport width (px) →</t>
  </si>
  <si>
    <t xml:space="preserve">Explore list: search/area bar</t>
  </si>
  <si>
    <t xml:space="preserve">Capped at 1024px. The result grid below is NOT capped (auto-fill): 1 col@360, 3@768, 4@1024, 5@1280–1440, 7@1920, so grid and header edges stop lining up above ~1056px. List and map never side by side.</t>
  </si>
  <si>
    <t xml:space="preserve">Prod measured</t>
  </si>
  <si>
    <t xml:space="preserve">Explore list: result grid</t>
  </si>
  <si>
    <t xml:space="preserve">Full width; columns keep multiplying (7 at 1920)</t>
  </si>
  <si>
    <t xml:space="preserve">/explore?view=map</t>
  </si>
  <si>
    <t xml:space="preserve">Map full width; no list beside it</t>
  </si>
  <si>
    <t xml:space="preserve">Page (visitor)</t>
  </si>
  <si>
    <t xml:space="preserve">Single 768px column at every width; no responsive prefixes</t>
  </si>
  <si>
    <t xml:space="preserve">Member profile</t>
  </si>
  <si>
    <t xml:space="preserve">Single column</t>
  </si>
  <si>
    <t xml:space="preserve">Item detail (product / service / event)</t>
  </si>
  <si>
    <t xml:space="preserve">/m/../{p,s,e}, /p/../g/..</t>
  </si>
  <si>
    <t xml:space="preserve">Single column, no media or side column</t>
  </si>
  <si>
    <t xml:space="preserve">Venue</t>
  </si>
  <si>
    <t xml:space="preserve">Column; item grid 3 cols at md+</t>
  </si>
  <si>
    <t xml:space="preserve">Placeholder text</t>
  </si>
  <si>
    <t xml:space="preserve">Join (vendor pitch)</t>
  </si>
  <si>
    <t xml:space="preserve">Column; benefits 3 cols at md+</t>
  </si>
  <si>
    <t xml:space="preserve">Sign in / password</t>
  </si>
  <si>
    <t xml:space="preserve">/auth/*</t>
  </si>
  <si>
    <t xml:space="preserve">Fixed 384px column</t>
  </si>
  <si>
    <t xml:space="preserve">Onboarding</t>
  </si>
  <si>
    <t xml:space="preserve">Fixed 448px column</t>
  </si>
  <si>
    <t xml:space="preserve">Column; Your Pages as auto-fill tiles</t>
  </si>
  <si>
    <t xml:space="preserve">Your shops</t>
  </si>
  <si>
    <t xml:space="preserve">Column; 3 buttons per row do not wrap (crush name at 375)</t>
  </si>
  <si>
    <t xml:space="preserve">Column</t>
  </si>
  <si>
    <t xml:space="preserve">Reports queue (operator)</t>
  </si>
  <si>
    <t xml:space="preserve">Column (deliberate per code comment)</t>
  </si>
  <si>
    <t xml:space="preserve">Composers / Sell walkthrough</t>
  </si>
  <si>
    <t xml:space="preserve">sheet on /you, /you/sell</t>
  </si>
  <si>
    <t xml:space="preserve">Bottom sheet on phone; centred 512px dialog at md+</t>
  </si>
  <si>
    <t xml:space="preserve">sheet on /explore</t>
  </si>
  <si>
    <t xml:space="preserve">Bottom sheet on phone; floating 384px panel at md+</t>
  </si>
  <si>
    <t xml:space="preserve">Area (scope) sheet</t>
  </si>
  <si>
    <t xml:space="preserve">Bottom sheet on phone; centred 448px modal at sm+</t>
  </si>
  <si>
    <t xml:space="preserve">Reading it: under ~60% at 15–16" means most of the screen is empty margin. Max widths from code (max-w-*); prod measurement confirms Explore, Page, Join, auth and You (signed out). Assumes 16px side padding.</t>
  </si>
  <si>
    <t xml:space="preserve">Problem</t>
  </si>
  <si>
    <t xml:space="preserve">Detail and evidence</t>
  </si>
  <si>
    <t xml:space="preserve">Where</t>
  </si>
  <si>
    <t xml:space="preserve">No wide layout anywhere</t>
  </si>
  <si>
    <t xml:space="preserve">lg:/xl:/2xl: are used 0 times; 105 of 126 .tsx files have no responsive prefix; content pages are single columns of 384–768px, so at 15–16" a Page uses ~53% of the width and at 27" ~30%.</t>
  </si>
  <si>
    <t xml:space="preserve">All content pages</t>
  </si>
  <si>
    <t xml:space="preserve">Code + prod measured</t>
  </si>
  <si>
    <t xml:space="preserve">Explore: List/Map toggle scrolls away and moves</t>
  </si>
  <si>
    <t xml:space="preserve">Toggle is inline after result card 4, not sticky (prod: 1769px down at 390, 586px down at 1440); in map view it sits under the map (BrowseSurface.tsx:50,256,276).</t>
  </si>
  <si>
    <t xml:space="preserve">Explore: header and grid on different widths</t>
  </si>
  <si>
    <t xml:space="preserve">Search/area bar capped at 1024px but the grid is uncapped: 5 columns at 1440, 7 at 1920; list and map never side by side; "7 results in Sacramento…" then "7 results" again; no h1.</t>
  </si>
  <si>
    <t xml:space="preserve">Create goes in a circle</t>
  </si>
  <si>
    <t xml:space="preserve">Nav Create → /you/sell, which sends anyone without an active Page back to /you; the empty state there says "Tap Create"; the entry that works is labelled "Sell". Same flow called Create / Sell / Page / shop.</t>
  </si>
  <si>
    <t xml:space="preserve">/you, /you/sell, nav</t>
  </si>
  <si>
    <t xml:space="preserve">Nav differs by size and never hides</t>
  </si>
  <si>
    <t xml:space="preserve">Phone order Explore · Create · You; desktop order Explore · You · Create + Sign in. Nav shows on auth, onboarding, admin and inside wizards; desktop nav links are 20px tall.</t>
  </si>
  <si>
    <t xml:space="preserve">Global</t>
  </si>
  <si>
    <t xml:space="preserve">Sign-in asked for in many words</t>
  </si>
  <si>
    <t xml:space="preserve">"Sign in", "Sign in to follow", "Sign up to see what's happening", "Sign up as a vendor", "Already a member? Log in" — all go to /auth/login; /auth/signup redirects there; 3 sign-in surfaces (AuthGateModal, unused SignInPrompt, page). /auth/login doesn't forward signed-in users.</t>
  </si>
  <si>
    <t xml:space="preserve">/explore, /g, /join, /you</t>
  </si>
  <si>
    <t xml:space="preserve">Code + prod</t>
  </si>
  <si>
    <t xml:space="preserve">/you is three overlapping views</t>
  </si>
  <si>
    <t xml:space="preserve">Following summary strip plus a Following tab that always says "Nothing followed yet"; Saved tab always empty; Settings and Sign out hidden in a third tab, Sign out also in the badge; profile link → /onboarding which bounces to /.</t>
  </si>
  <si>
    <t xml:space="preserve">No shared page shell</t>
  </si>
  <si>
    <t xml:space="preserve">No not-found/error/loading files (default Next 404 in prod); every page title is just "SocialUs" (prod); h1 in 5 sizes, no page header component; 12 different max-widths.</t>
  </si>
  <si>
    <t xml:space="preserve">Create and edit a Page don't match</t>
  </si>
  <si>
    <t xml:space="preserve">Name/Brand/Title, About/Description, Anchor Location/Address; links as URLs when creating, handles when editing; tags not editable and dropped on resume; Save scrolls away while "Done" sits beside it with equal weight and drops changes.</t>
  </si>
  <si>
    <t xml:space="preserve">Sell walkthrough, /g/[handle]/edit</t>
  </si>
  <si>
    <t xml:space="preserve">Dead ends and leftovers visible</t>
  </si>
  <si>
    <t xml:space="preserve">Products on a Page are plain text (no link to item pages, prod); /p/[place] shows placeholder text publicly; "Where is this made?" step has no input; /you signed out says "follow vendors" (prod); /following page is shadowed by a redirect and links to /vendors/*.</t>
  </si>
  <si>
    <t xml:space="preserve">Several</t>
  </si>
  <si>
    <t xml:space="preserve">(Owner Page)</t>
  </si>
  <si>
    <t xml:space="preserve">Owner sees Follow + Report on own Page; tools in four places — see owner-page-spec.md.</t>
  </si>
  <si>
    <t xml:space="preserve">/g/[handle] owner</t>
  </si>
  <si>
    <t xml:space="preserve">Prior review</t>
  </si>
  <si>
    <t xml:space="preserve">Group</t>
  </si>
  <si>
    <t xml:space="preserve">Piece</t>
  </si>
  <si>
    <t xml:space="preserve">File</t>
  </si>
  <si>
    <t xml:space="preserve">Used by (files)</t>
  </si>
  <si>
    <t xml:space="preserve">Variants</t>
  </si>
  <si>
    <t xml:space="preserve">Token use</t>
  </si>
  <si>
    <t xml:space="preserve">Notes</t>
  </si>
  <si>
    <t xml:space="preserve">badges</t>
  </si>
  <si>
    <t xml:space="preserve">ExampleCard label badge</t>
  </si>
  <si>
    <t xml:space="preserve">components/cards/ExampleCard.tsx:57</t>
  </si>
  <si>
    <t xml:space="preserve">bg-fg/80 text-[11px]</t>
  </si>
  <si>
    <t xml:space="preserve">Filter active dot</t>
  </si>
  <si>
    <t xml:space="preserve">components/explore/ExploreSearchBar.tsx:112</t>
  </si>
  <si>
    <t xml:space="preserve">accent</t>
  </si>
  <si>
    <t xml:space="preserve">OwnershipBadge</t>
  </si>
  <si>
    <t xml:space="preserve">components/OwnershipBadge.tsx</t>
  </si>
  <si>
    <t xml:space="preserve">lib/map-config hex</t>
  </si>
  <si>
    <t xml:space="preserve">ORPHAN; ignores ownership tokens.</t>
  </si>
  <si>
    <t xml:space="preserve">RecruitmentGrid badges</t>
  </si>
  <si>
    <t xml:space="preserve">components/RecruitmentGrid.tsx:100,123</t>
  </si>
  <si>
    <t xml:space="preserve">amber + text-[10px]</t>
  </si>
  <si>
    <t xml:space="preserve">Orphan.</t>
  </si>
  <si>
    <t xml:space="preserve">Sparkline</t>
  </si>
  <si>
    <t xml:space="preserve">components/Sparkline.tsx</t>
  </si>
  <si>
    <t xml:space="preserve">ORPHAN.</t>
  </si>
  <si>
    <t xml:space="preserve">StatusDot</t>
  </si>
  <si>
    <t xml:space="preserve">components/cards/StatusDot.tsx</t>
  </si>
  <si>
    <t xml:space="preserve">hex prop</t>
  </si>
  <si>
    <t xml:space="preserve">banners/notices/toasts</t>
  </si>
  <si>
    <t xml:space="preserve">Error text</t>
  </si>
  <si>
    <t xml:space="preserve">many</t>
  </si>
  <si>
    <t xml:space="preserve">text-red-600 / red-500 / red-700 / var(--color-danger,#b00)</t>
  </si>
  <si>
    <t xml:space="preserve">raw palette + undefined var</t>
  </si>
  <si>
    <t xml:space="preserve">No danger token.</t>
  </si>
  <si>
    <t xml:space="preserve">HiddenPhotoNotice</t>
  </si>
  <si>
    <t xml:space="preserve">components/group/HiddenPhotoNotice.tsx</t>
  </si>
  <si>
    <t xml:space="preserve">tokens</t>
  </si>
  <si>
    <t xml:space="preserve">Inline toasts (x5)</t>
  </si>
  <si>
    <t xml:space="preserve">components/sell/SellCta.tsx:195; components/sell/Add*Button.tsx:71/76; components/group/ReportControl.tsx:87</t>
  </si>
  <si>
    <t xml:space="preserve">neutral-900 / charcoal-700; bottom-4 / bottom-20</t>
  </si>
  <si>
    <t xml:space="preserve">rolls own</t>
  </si>
  <si>
    <t xml:space="preserve">Toast re-implemented 5x.</t>
  </si>
  <si>
    <t xml:space="preserve">LocallyOwnedClaim</t>
  </si>
  <si>
    <t xml:space="preserve">components/group/LocallyOwnedClaim.tsx</t>
  </si>
  <si>
    <t xml:space="preserve">btn recipes</t>
  </si>
  <si>
    <t xml:space="preserve">MakeThisYoursBanner</t>
  </si>
  <si>
    <t xml:space="preserve">components/feed/MakeThisYoursBanner.tsx</t>
  </si>
  <si>
    <t xml:space="preserve">.card + btn-primary</t>
  </si>
  <si>
    <t xml:space="preserve">PostingSafetyNote</t>
  </si>
  <si>
    <t xml:space="preserve">components/PostingSafetyNote.tsx</t>
  </si>
  <si>
    <t xml:space="preserve">fg-muted</t>
  </si>
  <si>
    <t xml:space="preserve">Toast</t>
  </si>
  <si>
    <t xml:space="preserve">components/Toast.tsx</t>
  </si>
  <si>
    <t xml:space="preserve">bg-zinc-800, bottom-20</t>
  </si>
  <si>
    <t xml:space="preserve">Only legacy FollowButton.</t>
  </si>
  <si>
    <t xml:space="preserve">buttons</t>
  </si>
  <si>
    <t xml:space="preserve">.btn-primary (recipe)</t>
  </si>
  <si>
    <t xml:space="preserve">app/globals.css</t>
  </si>
  <si>
    <t xml:space="preserve">single; accent fill, rounded-xl(0.75rem), px-5 py-3 text-sm medium</t>
  </si>
  <si>
    <t xml:space="preserve">recipe</t>
  </si>
  <si>
    <t xml:space="preserve">29 uses/22 files. ~21 other accent buttons roll their own.</t>
  </si>
  <si>
    <t xml:space="preserve">.btn-secondary (recipe)</t>
  </si>
  <si>
    <t xml:space="preserve">single; white + border</t>
  </si>
  <si>
    <t xml:space="preserve">20 uses/16 files.</t>
  </si>
  <si>
    <t xml:space="preserve">Ad-hoc accent pill CTA</t>
  </si>
  <si>
    <t xml:space="preserve">app/join/page.tsx:65,123; components/auth/EmailFirstSignup.tsx:229,275; components/auth/MagicLinkForm.tsx:90; app/you/page.tsx:270; components/follows/FollowingManager.tsx:175; components/AuthCtaButtons.tsx:97,116; components/HomeFeed.tsx:179</t>
  </si>
  <si>
    <t xml:space="preserve">rounded-full px-4..6 py-2..3 text-sm|base medium|semibold</t>
  </si>
  <si>
    <t xml:space="preserve">rolls own (arbitrary var tokens)</t>
  </si>
  <si>
    <t xml:space="preserve">Duplicates .btn-primary with rounded-full instead of rounded-xl.</t>
  </si>
  <si>
    <t xml:space="preserve">Ad-hoc accent small CTA</t>
  </si>
  <si>
    <t xml:space="preserve">components/group/WithheldPagePosts.tsx:62; components/browse/WithheldAnnouncementCard.tsx:86; components/RecruitmentGrid.tsx:111,148; app/following/page.tsx:93</t>
  </si>
  <si>
    <t xml:space="preserve">rounded-lg/rounded-md, px-3 py-1.5 text-xs|[11px]</t>
  </si>
  <si>
    <t xml:space="preserve">No small size of btn-primary, so each re-invents one.</t>
  </si>
  <si>
    <t xml:space="preserve">AddProductButton / AddServiceButton / AddGatheringButton</t>
  </si>
  <si>
    <t xml:space="preserve">components/sell/Add{Product,Service,Gathering}Button.tsx</t>
  </si>
  <si>
    <t xml:space="preserve">btn-secondary trigger + inline neutral-900 toast</t>
  </si>
  <si>
    <t xml:space="preserve">recipe + raw palette</t>
  </si>
  <si>
    <t xml:space="preserve">Three near-identical files incl. duplicated inline toast.</t>
  </si>
  <si>
    <t xml:space="preserve">AddToCalendarLink</t>
  </si>
  <si>
    <t xml:space="preserve">components/calendar/AddToCalendarLink.tsx</t>
  </si>
  <si>
    <t xml:space="preserve">link</t>
  </si>
  <si>
    <t xml:space="preserve">AuthButton</t>
  </si>
  <si>
    <t xml:space="preserve">components/AuthButton.tsx</t>
  </si>
  <si>
    <t xml:space="preserve">btn-primary/btn-secondary</t>
  </si>
  <si>
    <t xml:space="preserve">AuthCtaButtons</t>
  </si>
  <si>
    <t xml:space="preserve">components/AuthCtaButtons.tsx</t>
  </si>
  <si>
    <t xml:space="preserve">compact/full</t>
  </si>
  <si>
    <t xml:space="preserve">rolls own accent pill</t>
  </si>
  <si>
    <t xml:space="preserve">Only used by orphan HomeFeed.</t>
  </si>
  <si>
    <t xml:space="preserve">Charcoal full-width sheet CTA</t>
  </si>
  <si>
    <t xml:space="preserve">components/explore/ExploreFilterSheet.tsx:203; components/group/ReportSheet.tsx:166; components/metro/MetroStandingDialog.tsx:87; components/metro/MetroWaitlistStep.tsx:77,138</t>
  </si>
  <si>
    <t xml:space="preserve">w-full rounded-full bg-charcoal-700 py-3 text-sm semibold white</t>
  </si>
  <si>
    <t xml:space="preserve">Contradicts globals.css 'Charcoal ... never a CTA fill'.</t>
  </si>
  <si>
    <t xml:space="preserve">FollowButton</t>
  </si>
  <si>
    <t xml:space="preserve">components/FollowButton.tsx</t>
  </si>
  <si>
    <t xml:space="preserve">following/not</t>
  </si>
  <si>
    <t xml:space="preserve">rolls own (accent var)</t>
  </si>
  <si>
    <t xml:space="preserve">Legacy /following only. One of four follow buttons.</t>
  </si>
  <si>
    <t xml:space="preserve">FollowMemberButton</t>
  </si>
  <si>
    <t xml:space="preserve">components/member/FollowMemberButton.tsx</t>
  </si>
  <si>
    <t xml:space="preserve">recipe; error text-red-600</t>
  </si>
  <si>
    <t xml:space="preserve">Near-identical to FollowVenueButton.</t>
  </si>
  <si>
    <t xml:space="preserve">FollowPageButton</t>
  </si>
  <si>
    <t xml:space="preserve">components/group/FollowPageButton.tsx</t>
  </si>
  <si>
    <t xml:space="preserve">signin link / toggle</t>
  </si>
  <si>
    <t xml:space="preserve">btn-primary + custom</t>
  </si>
  <si>
    <t xml:space="preserve">Duplicates Follow{Member,Venue}Button.</t>
  </si>
  <si>
    <t xml:space="preserve">FollowVenueButton</t>
  </si>
  <si>
    <t xml:space="preserve">components/venue/FollowVenueButton.tsx</t>
  </si>
  <si>
    <t xml:space="preserve">Copy of FollowMemberButton.</t>
  </si>
  <si>
    <t xml:space="preserve">Icon button (circle)</t>
  </si>
  <si>
    <t xml:space="preserve">components/explore/ExploreSearchBar.tsx:95,105; components/group/ReportSheet.tsx:124; components/explore/ExploreFilterSheet.tsx:134</t>
  </si>
  <si>
    <t xml:space="preserve">h-11 w-11 vs h-9 w-9</t>
  </si>
  <si>
    <t xml:space="preserve">rolls own; hover:bg-neutral-100</t>
  </si>
  <si>
    <t xml:space="preserve">Modal closes elsewhere are bare p-1 icons (AuthGateModal, AddEntityDrawer, MarketSelector) under 44px.</t>
  </si>
  <si>
    <t xml:space="preserve">ShareLinkButton</t>
  </si>
  <si>
    <t xml:space="preserve">components/item/ShareLinkButton.tsx</t>
  </si>
  <si>
    <t xml:space="preserve">btn-secondary</t>
  </si>
  <si>
    <t xml:space="preserve">SupportButton</t>
  </si>
  <si>
    <t xml:space="preserve">components/SupportButton.tsx</t>
  </si>
  <si>
    <t xml:space="preserve">red-50/red-100 toggle</t>
  </si>
  <si>
    <t xml:space="preserve">raw palette</t>
  </si>
  <si>
    <t xml:space="preserve">cards</t>
  </si>
  <si>
    <t xml:space="preserve">.card / .card-hover (recipe)</t>
  </si>
  <si>
    <t xml:space="preserve">card, card-hover(lift)</t>
  </si>
  <si>
    <t xml:space="preserve">bg-white rounded-xl. 18 uses/16 files.</t>
  </si>
  <si>
    <t xml:space="preserve">AnnouncementCard</t>
  </si>
  <si>
    <t xml:space="preserve">components/cards/AnnouncementCard.tsx</t>
  </si>
  <si>
    <t xml:space="preserve">tokens via Card</t>
  </si>
  <si>
    <t xml:space="preserve">Gallery only.</t>
  </si>
  <si>
    <t xml:space="preserve">BrowseResultCard</t>
  </si>
  <si>
    <t xml:space="preserve">components/browse/BrowseResultCard.tsx</t>
  </si>
  <si>
    <t xml:space="preserve">page / withheld announcement</t>
  </si>
  <si>
    <t xml:space="preserve">Card</t>
  </si>
  <si>
    <t xml:space="preserve">components/cards/Card.tsx</t>
  </si>
  <si>
    <t xml:space="preserve">interactive; as div|article|section|li</t>
  </si>
  <si>
    <t xml:space="preserve">Used only inside components/cards + WithheldAnnouncementCard; feature cards bypass it.</t>
  </si>
  <si>
    <t xml:space="preserve">CardGrid</t>
  </si>
  <si>
    <t xml:space="preserve">components/cards/CardGrid.tsx</t>
  </si>
  <si>
    <t xml:space="preserve">EventCard</t>
  </si>
  <si>
    <t xml:space="preserve">components/EventCard.tsx</t>
  </si>
  <si>
    <t xml:space="preserve">card-hover + amber gradient + text-[11px]</t>
  </si>
  <si>
    <t xml:space="preserve">Only in orphan HomeFeed.</t>
  </si>
  <si>
    <t xml:space="preserve">ExampleCard / ExampleBlock</t>
  </si>
  <si>
    <t xml:space="preserve">components/cards/ExampleCard.tsx; components/cards/ExampleBlock.tsx</t>
  </si>
  <si>
    <t xml:space="preserve">tokens; inline style var(--color-surface)</t>
  </si>
  <si>
    <t xml:space="preserve">Used by MetroNotCoveredPanel.</t>
  </si>
  <si>
    <t xml:space="preserve">FollowCard</t>
  </si>
  <si>
    <t xml:space="preserve">components/follows/FollowCard.tsx</t>
  </si>
  <si>
    <t xml:space="preserve">card-hover</t>
  </si>
  <si>
    <t xml:space="preserve">ItemFeedCard</t>
  </si>
  <si>
    <t xml:space="preserve">components/feed/ItemFeedCard.tsx</t>
  </si>
  <si>
    <t xml:space="preserve">.card + card-hover</t>
  </si>
  <si>
    <t xml:space="preserve">LocalityFeed (paused) and VenuePublicPage.</t>
  </si>
  <si>
    <t xml:space="preserve">MarketSelector option card</t>
  </si>
  <si>
    <t xml:space="preserve">components/MarketSelector.tsx:86</t>
  </si>
  <si>
    <t xml:space="preserve">selected/unselected</t>
  </si>
  <si>
    <t xml:space="preserve">raw neutral</t>
  </si>
  <si>
    <t xml:space="preserve">Own card style.</t>
  </si>
  <si>
    <t xml:space="preserve">MetricTile</t>
  </si>
  <si>
    <t xml:space="preserve">components/cards/MetricTile.tsx</t>
  </si>
  <si>
    <t xml:space="preserve">PageDetailCard</t>
  </si>
  <si>
    <t xml:space="preserve">components/group/PageDetailCard.tsx</t>
  </si>
  <si>
    <t xml:space="preserve">raw neutral + arbitrary shadow</t>
  </si>
  <si>
    <t xml:space="preserve">Really a bottom sheet; only in orphan Map.</t>
  </si>
  <si>
    <t xml:space="preserve">RecruitmentGrid tiles</t>
  </si>
  <si>
    <t xml:space="preserve">components/RecruitmentGrid.tsx</t>
  </si>
  <si>
    <t xml:space="preserve">small/featured</t>
  </si>
  <si>
    <t xml:space="preserve">raw amber + text-[10/11px]</t>
  </si>
  <si>
    <t xml:space="preserve">Orphan via HomeFeed.</t>
  </si>
  <si>
    <t xml:space="preserve">TileCard</t>
  </si>
  <si>
    <t xml:space="preserve">components/cards/TileCard.tsx</t>
  </si>
  <si>
    <t xml:space="preserve">image/initial tile</t>
  </si>
  <si>
    <t xml:space="preserve">BrowseResultCard, OwnPages, gallery.</t>
  </si>
  <si>
    <t xml:space="preserve">WithheldAnnouncementCard</t>
  </si>
  <si>
    <t xml:space="preserve">components/browse/WithheldAnnouncementCard.tsx</t>
  </si>
  <si>
    <t xml:space="preserve">Card + ad-hoc accent button</t>
  </si>
  <si>
    <t xml:space="preserve">chips/pills</t>
  </si>
  <si>
    <t xml:space="preserve">.chip / .chip-selected (recipe)</t>
  </si>
  <si>
    <t xml:space="preserve">chip, chip-selected</t>
  </si>
  <si>
    <t xml:space="preserve">chip 6 files, chip-selected 2.</t>
  </si>
  <si>
    <t xml:space="preserve">Explore scope trigger</t>
  </si>
  <si>
    <t xml:space="preserve">components/explore/ExploreSearchBar.tsx:78</t>
  </si>
  <si>
    <t xml:space="preserve">rolls own pill</t>
  </si>
  <si>
    <t xml:space="preserve">Opens ScopeSheet.</t>
  </si>
  <si>
    <t xml:space="preserve">FilterSheet option pill</t>
  </si>
  <si>
    <t xml:space="preserve">components/explore/ExploreFilterSheet.tsx:237</t>
  </si>
  <si>
    <t xml:space="preserve">checked charcoal-700</t>
  </si>
  <si>
    <t xml:space="preserve">Reimplements chip with charcoal-700 instead of fg.</t>
  </si>
  <si>
    <t xml:space="preserve">ListMapToggle segment</t>
  </si>
  <si>
    <t xml:space="preserve">components/explore/ListMapToggle.tsx:81</t>
  </si>
  <si>
    <t xml:space="preserve">active charcoal-700</t>
  </si>
  <si>
    <t xml:space="preserve">Another chip-selected variant.</t>
  </si>
  <si>
    <t xml:space="preserve">MarketPill</t>
  </si>
  <si>
    <t xml:space="preserve">components/MarketPill.tsx</t>
  </si>
  <si>
    <t xml:space="preserve">raw neutral-100/200/800</t>
  </si>
  <si>
    <t xml:space="preserve">Metro/Sell option pills</t>
  </si>
  <si>
    <t xml:space="preserve">components/metro/MetroWaitlistStep.tsx:175; components/sell/SellWalkthrough.tsx:198</t>
  </si>
  <si>
    <t xml:space="preserve">selected charcoal-700</t>
  </si>
  <si>
    <t xml:space="preserve">ScopePicker</t>
  </si>
  <si>
    <t xml:space="preserve">components/feed/ScopePicker.tsx</t>
  </si>
  <si>
    <t xml:space="preserve">&lt;select&gt; styled .chip</t>
  </si>
  <si>
    <t xml:space="preserve">Paused LocalityFeed only.</t>
  </si>
  <si>
    <t xml:space="preserve">You/HomeFeed tab pills</t>
  </si>
  <si>
    <t xml:space="preserve">app/you/page.tsx:182; components/HomeFeed.tsx:152</t>
  </si>
  <si>
    <t xml:space="preserve">active bg-accent</t>
  </si>
  <si>
    <t xml:space="preserve">Selected = accent here, charcoal-700 in Explore, fg in .chip-selected.</t>
  </si>
  <si>
    <t xml:space="preserve">empty states</t>
  </si>
  <si>
    <t xml:space="preserve">FeedEmptyState</t>
  </si>
  <si>
    <t xml:space="preserve">components/feed/FeedEmptyState.tsx</t>
  </si>
  <si>
    <t xml:space="preserve">.card + btn-secondary</t>
  </si>
  <si>
    <t xml:space="preserve">Only shared empty state; paused feed only.</t>
  </si>
  <si>
    <t xml:space="preserve">Inline empty states</t>
  </si>
  <si>
    <t xml:space="preserve">app/following/page.tsx:89; app/you/page.tsx:270; components/follows/FollowingManager.tsx:175; components/explore/MetroNotCoveredPanel.tsx; components/HomeFeed.tsx:179</t>
  </si>
  <si>
    <t xml:space="preserve">rolls own accent CTA</t>
  </si>
  <si>
    <t xml:space="preserve">forms/inputs</t>
  </si>
  <si>
    <t xml:space="preserve">.input (recipe)</t>
  </si>
  <si>
    <t xml:space="preserve">single</t>
  </si>
  <si>
    <t xml:space="preserve">47 uses/15 files. Border uses --color-border not --color-control-border.</t>
  </si>
  <si>
    <t xml:space="preserve">Ad-hoc textarea/inputs</t>
  </si>
  <si>
    <t xml:space="preserve">components/group/ReportSheet.tsx:148; components/admin/MarketForm.tsx; components/CategoryInput.tsx</t>
  </si>
  <si>
    <t xml:space="preserve">rounded-xl border-control-border</t>
  </si>
  <si>
    <t xml:space="preserve">AnnouncementFields</t>
  </si>
  <si>
    <t xml:space="preserve">components/group/AnnouncementFields.tsx</t>
  </si>
  <si>
    <t xml:space="preserve">.input</t>
  </si>
  <si>
    <t xml:space="preserve">Area pickers: ScopeSheet vs MarketSelector vs ScopePicker vs MarketPill</t>
  </si>
  <si>
    <t xml:space="preserve">components/explore/ScopeSheet.tsx; components/MarketSelector.tsx; components/feed/ScopePicker.tsx; components/MarketPill.tsx</t>
  </si>
  <si>
    <t xml:space="preserve">mixed</t>
  </si>
  <si>
    <t xml:space="preserve">Four components for one job.</t>
  </si>
  <si>
    <t xml:space="preserve">AudienceSwitch</t>
  </si>
  <si>
    <t xml:space="preserve">components/group/AudienceSwitch.tsx</t>
  </si>
  <si>
    <t xml:space="preserve">toggle</t>
  </si>
  <si>
    <t xml:space="preserve">accent / control-border</t>
  </si>
  <si>
    <t xml:space="preserve">ExploreSearchBar</t>
  </si>
  <si>
    <t xml:space="preserve">components/explore/ExploreSearchBar.tsx</t>
  </si>
  <si>
    <t xml:space="preserve">sticky bar: scope pill + search + filter</t>
  </si>
  <si>
    <t xml:space="preserve">charcoal tokens, neutral-100/400</t>
  </si>
  <si>
    <t xml:space="preserve">Live.</t>
  </si>
  <si>
    <t xml:space="preserve">LocationPlaceFields</t>
  </si>
  <si>
    <t xml:space="preserve">components/locations/LocationPlaceFields.tsx</t>
  </si>
  <si>
    <t xml:space="preserve">.input + undefined --color-danger</t>
  </si>
  <si>
    <t xml:space="preserve">components/media/PagePhotoPicker.tsx</t>
  </si>
  <si>
    <t xml:space="preserve">btn-secondary + --color-danger,#b00</t>
  </si>
  <si>
    <t xml:space="preserve">PillarSelector / OwnershipSelector / CategoryInput</t>
  </si>
  <si>
    <t xml:space="preserve">components/PillarSelector.tsx; components/OwnershipSelector.tsx; components/CategoryInput.tsx</t>
  </si>
  <si>
    <t xml:space="preserve">raw zinc + dark:</t>
  </si>
  <si>
    <t xml:space="preserve">All orphaned.</t>
  </si>
  <si>
    <t xml:space="preserve">SearchBar</t>
  </si>
  <si>
    <t xml:space="preserve">components/SearchBar.tsx</t>
  </si>
  <si>
    <t xml:space="preserve">floating map search</t>
  </si>
  <si>
    <t xml:space="preserve">tokens + arbitrary shadow</t>
  </si>
  <si>
    <t xml:space="preserve">Only in orphan Map; duplicates ExploreSearchBar.</t>
  </si>
  <si>
    <t xml:space="preserve">SocialHandleFields / SocialLinksFields</t>
  </si>
  <si>
    <t xml:space="preserve">components/group/SocialHandleFields.tsx; components/group/SocialLinksFields.tsx</t>
  </si>
  <si>
    <t xml:space="preserve">.input + --color-danger,#b00</t>
  </si>
  <si>
    <t xml:space="preserve">Near-duplicates.</t>
  </si>
  <si>
    <t xml:space="preserve">headers/page titles</t>
  </si>
  <si>
    <t xml:space="preserve">(no shared PageHeader)</t>
  </si>
  <si>
    <t xml:space="preserve">app/**/page.tsx</t>
  </si>
  <si>
    <t xml:space="preserve">h1 text-lg / xl / 2xl / 4xl / 5xl</t>
  </si>
  <si>
    <t xml:space="preserve">5 h1 sizes; app/following and app/you switch xl vs 2xl between branches.</t>
  </si>
  <si>
    <t xml:space="preserve">OwnerBar</t>
  </si>
  <si>
    <t xml:space="preserve">components/group/OwnerBar.tsx</t>
  </si>
  <si>
    <t xml:space="preserve">btn recipes + press</t>
  </si>
  <si>
    <t xml:space="preserve">maps</t>
  </si>
  <si>
    <t xml:space="preserve">BrowseMap</t>
  </si>
  <si>
    <t xml:space="preserve">components/browse/BrowseMap.tsx</t>
  </si>
  <si>
    <t xml:space="preserve">dynamic import</t>
  </si>
  <si>
    <t xml:space="preserve">inline cssText pin + rgba shadow</t>
  </si>
  <si>
    <t xml:space="preserve">Live map.</t>
  </si>
  <si>
    <t xml:space="preserve">Map</t>
  </si>
  <si>
    <t xml:space="preserve">components/Map.tsx</t>
  </si>
  <si>
    <t xml:space="preserve">clusters, pins</t>
  </si>
  <si>
    <t xml:space="preserve">hex #374151, dark:zinc</t>
  </si>
  <si>
    <t xml:space="preserve">ORPHAN; drags SearchBar + PageDetailCard.</t>
  </si>
  <si>
    <t xml:space="preserve">MapPreview</t>
  </si>
  <si>
    <t xml:space="preserve">components/MapPreview.tsx</t>
  </si>
  <si>
    <t xml:space="preserve">rgba shadow</t>
  </si>
  <si>
    <t xml:space="preserve">nav</t>
  </si>
  <si>
    <t xml:space="preserve">BottomNav</t>
  </si>
  <si>
    <t xml:space="preserve">components/BottomNav.tsx</t>
  </si>
  <si>
    <t xml:space="preserve">mobile tab bar, hides on scroll</t>
  </si>
  <si>
    <t xml:space="preserve">nav-* tokens, text-[9px], gap-[3px], max-w-[420px]</t>
  </si>
  <si>
    <t xml:space="preserve">h-11 hardcodes --nav-height.</t>
  </si>
  <si>
    <t xml:space="preserve">NavYouBadge / YouBadge / PersonMark</t>
  </si>
  <si>
    <t xml:space="preserve">components/NavYouBadge.tsx; components/YouBadge.tsx; components/PersonMark.tsx</t>
  </si>
  <si>
    <t xml:space="preserve">avatar mark</t>
  </si>
  <si>
    <t xml:space="preserve">charcoal tokens</t>
  </si>
  <si>
    <t xml:space="preserve">PlaceBreadcrumb</t>
  </si>
  <si>
    <t xml:space="preserve">components/place-breadcrumb.tsx</t>
  </si>
  <si>
    <t xml:space="preserve">text-blue-600</t>
  </si>
  <si>
    <t xml:space="preserve">Only blue in app.</t>
  </si>
  <si>
    <t xml:space="preserve">TopNavDesktop</t>
  </si>
  <si>
    <t xml:space="preserve">components/BottomNav.tsx:133</t>
  </si>
  <si>
    <t xml:space="preserve">md+ only, h-14</t>
  </si>
  <si>
    <t xml:space="preserve">border-neutral-200, text-neutral-600/900</t>
  </si>
  <si>
    <t xml:space="preserve">Raw neutral where BottomNav uses nav tokens.</t>
  </si>
  <si>
    <t xml:space="preserve">sheets/modals</t>
  </si>
  <si>
    <t xml:space="preserve">AddEntityDrawer</t>
  </si>
  <si>
    <t xml:space="preserve">components/composer/AddEntityDrawer.tsx</t>
  </si>
  <si>
    <t xml:space="preserve">bottom -&gt; md: centred, z-[60]</t>
  </si>
  <si>
    <t xml:space="preserve">raw neutral, red-600, text-[22px], shadow-lg</t>
  </si>
  <si>
    <t xml:space="preserve">components/AuthGateModal.tsx</t>
  </si>
  <si>
    <t xml:space="preserve">bottom -&gt; md: centred</t>
  </si>
  <si>
    <t xml:space="preserve">raw neutral, bg-black/40, no shadow</t>
  </si>
  <si>
    <t xml:space="preserve">Legacy /following only.</t>
  </si>
  <si>
    <t xml:space="preserve">ExploreFilterSheet</t>
  </si>
  <si>
    <t xml:space="preserve">components/explore/ExploreFilterSheet.tsx</t>
  </si>
  <si>
    <t xml:space="preserve">bottom -&gt; md: right panel</t>
  </si>
  <si>
    <t xml:space="preserve">charcoal tokens, shadow-[0_-8px_24px]</t>
  </si>
  <si>
    <t xml:space="preserve">Header/body/footer chrome.</t>
  </si>
  <si>
    <t xml:space="preserve">MarketSelector</t>
  </si>
  <si>
    <t xml:space="preserve">components/MarketSelector.tsx</t>
  </si>
  <si>
    <t xml:space="preserve">bottom -&gt; md: centred max-w-lg</t>
  </si>
  <si>
    <t xml:space="preserve">raw neutral, bg-black/40</t>
  </si>
  <si>
    <t xml:space="preserve">Overlaps ScopeSheet job.</t>
  </si>
  <si>
    <t xml:space="preserve">MetroStandingDialog</t>
  </si>
  <si>
    <t xml:space="preserve">components/metro/MetroStandingDialog.tsx</t>
  </si>
  <si>
    <t xml:space="preserve">centred dialog</t>
  </si>
  <si>
    <t xml:space="preserve">shadow-[0_8px_32px]</t>
  </si>
  <si>
    <t xml:space="preserve">MultiStepComposer</t>
  </si>
  <si>
    <t xml:space="preserve">components/composer/MultiStepComposer.tsx</t>
  </si>
  <si>
    <t xml:space="preserve">raw neutral, red-600</t>
  </si>
  <si>
    <t xml:space="preserve">Shell for all sell composers.</t>
  </si>
  <si>
    <t xml:space="preserve">PageOverflowMenu</t>
  </si>
  <si>
    <t xml:space="preserve">components/group/PageOverflowMenu.tsx</t>
  </si>
  <si>
    <t xml:space="preserve">dropdown</t>
  </si>
  <si>
    <t xml:space="preserve">charcoal-100 + shadow-[0_8px_24px]</t>
  </si>
  <si>
    <t xml:space="preserve">ReportForm</t>
  </si>
  <si>
    <t xml:space="preserve">components/ReportForm.tsx</t>
  </si>
  <si>
    <t xml:space="preserve">bottom sheet, bg-black/50</t>
  </si>
  <si>
    <t xml:space="preserve">ORPHAN; superseded by ReportSheet.</t>
  </si>
  <si>
    <t xml:space="preserve">ReportSheet</t>
  </si>
  <si>
    <t xml:space="preserve">components/group/ReportSheet.tsx</t>
  </si>
  <si>
    <t xml:space="preserve">same as FilterSheet</t>
  </si>
  <si>
    <t xml:space="preserve">Copy of FilterSheet chrome.</t>
  </si>
  <si>
    <t xml:space="preserve">ScopeSheet</t>
  </si>
  <si>
    <t xml:space="preserve">components/explore/ScopeSheet.tsx</t>
  </si>
  <si>
    <t xml:space="preserve">bottom -&gt; sm: centred</t>
  </si>
  <si>
    <t xml:space="preserve">arbitrary shadow, bg-black/30</t>
  </si>
  <si>
    <t xml:space="preserve">Switches at sm:.</t>
  </si>
  <si>
    <t xml:space="preserve">components/auth/SignInPrompt.tsx</t>
  </si>
  <si>
    <t xml:space="preserve">ORPHAN; duplicates AuthGateModal.</t>
  </si>
  <si>
    <t xml:space="preserve">Category</t>
  </si>
  <si>
    <t xml:space="preserve">Token</t>
  </si>
  <si>
    <t xml:space="preserve">Value</t>
  </si>
  <si>
    <t xml:space="preserve">Defined in</t>
  </si>
  <si>
    <t xml:space="preserve">Usage count</t>
  </si>
  <si>
    <t xml:space="preserve">color</t>
  </si>
  <si>
    <t xml:space="preserve">--color-bg</t>
  </si>
  <si>
    <t xml:space="preserve">#ffffff</t>
  </si>
  <si>
    <t xml:space="preserve">app/globals.css @theme inline</t>
  </si>
  <si>
    <t xml:space="preserve">utility form (bg-bg, text-bg...) used 0x; arbitrary var form used 1x {'bg': 1}; total var(--color-bg) refs 1</t>
  </si>
  <si>
    <t xml:space="preserve">--color-surface</t>
  </si>
  <si>
    <t xml:space="preserve">#f7f6f2</t>
  </si>
  <si>
    <t xml:space="preserve">utility form (bg-surface, text-surface...) used 0x; arbitrary var form used 12x {'bg': 12}; total var(--color-surface) refs 13</t>
  </si>
  <si>
    <t xml:space="preserve">--color-fg</t>
  </si>
  <si>
    <t xml:space="preserve">#1a1a1a</t>
  </si>
  <si>
    <t xml:space="preserve">utility form (bg-fg, text-fg...) used 0x; arbitrary var form used 100x {'text': 97, 'bg': 3}; total var(--color-fg) refs 100</t>
  </si>
  <si>
    <t xml:space="preserve">--color-fg-muted</t>
  </si>
  <si>
    <t xml:space="preserve">#6b6b6b</t>
  </si>
  <si>
    <t xml:space="preserve">utility form (bg-fg-muted, text-fg-muted...) used 0x; arbitrary var form used 86x {'text': 86}; total var(--color-fg-muted) refs 86</t>
  </si>
  <si>
    <t xml:space="preserve">--color-border</t>
  </si>
  <si>
    <t xml:space="preserve">#e5e3dd</t>
  </si>
  <si>
    <t xml:space="preserve">utility form (bg-border, text-border...) used 0x; arbitrary var form used 13x {'border': 11, 'ring': 2}; total var(--color-border) refs 13</t>
  </si>
  <si>
    <t xml:space="preserve">--color-charcoal</t>
  </si>
  <si>
    <t xml:space="preserve">#3c3c3c</t>
  </si>
  <si>
    <t xml:space="preserve">utility form (bg-charcoal, text-charcoal...) used 0x; arbitrary var form used 1x {'text': 1}; total var(--color-charcoal) refs 1</t>
  </si>
  <si>
    <t xml:space="preserve">--color-charcoal-900</t>
  </si>
  <si>
    <t xml:space="preserve">#2b2b2b</t>
  </si>
  <si>
    <t xml:space="preserve">utility form (bg-charcoal-900, text-charcoal-900...) used 0x; arbitrary var form used 41x {'text': 41}; total var(--color-charcoal-900) refs 41</t>
  </si>
  <si>
    <t xml:space="preserve">--color-charcoal-700</t>
  </si>
  <si>
    <t xml:space="preserve">utility form (bg-charcoal-700, text-charcoal-700...) used 0x; arbitrary var form used 11x {'bg': 11}; total var(--color-charcoal-700) refs 11; same value as --color-charcoal (redundant)</t>
  </si>
  <si>
    <t xml:space="preserve">--color-charcoal-100</t>
  </si>
  <si>
    <t xml:space="preserve">#e8e8e8</t>
  </si>
  <si>
    <t xml:space="preserve">utility form (bg-charcoal-100, text-charcoal-100...) used 0x; arbitrary var form used 14x {'bg': 1, 'border': 13}; total var(--color-charcoal-100) refs 14</t>
  </si>
  <si>
    <t xml:space="preserve">--color-control-border</t>
  </si>
  <si>
    <t xml:space="preserve">#8a8a8a</t>
  </si>
  <si>
    <t xml:space="preserve">utility form (bg-control-border, text-control-border...) used 0x; arbitrary var form used 8x {'bg': 1, 'border': 7}; total var(--color-control-border) refs 8; .input recipe ignores it (uses --color-border)</t>
  </si>
  <si>
    <t xml:space="preserve">--color-nav-inactive</t>
  </si>
  <si>
    <t xml:space="preserve">#717171</t>
  </si>
  <si>
    <t xml:space="preserve">utility form (bg-nav-inactive, text-nav-inactive...) used 0x; arbitrary var form used 2x {'text': 2}; total var(--color-nav-inactive) refs 2</t>
  </si>
  <si>
    <t xml:space="preserve">--color-nav-border</t>
  </si>
  <si>
    <t xml:space="preserve">#ebebeb</t>
  </si>
  <si>
    <t xml:space="preserve">utility form (bg-nav-border, text-nav-border...) used 0x; arbitrary var form used 1x {'border': 1}; total var(--color-nav-border) refs 1</t>
  </si>
  <si>
    <t xml:space="preserve">--color-accent</t>
  </si>
  <si>
    <t xml:space="preserve">#0fab8e</t>
  </si>
  <si>
    <t xml:space="preserve">utility form (bg-accent, text-accent...) used 0x; arbitrary var form used 83x {'bg': 21, 'text': 49, 'border': 7, 'ring': 4, 'outline': 2}; total var(--color-accent) refs 84</t>
  </si>
  <si>
    <t xml:space="preserve">--color-accent-hover</t>
  </si>
  <si>
    <t xml:space="preserve">#0a8a72</t>
  </si>
  <si>
    <t xml:space="preserve">utility form (bg-accent-hover, text-accent-hover...) used 0x; arbitrary var form used 11x {'bg': 11}; total var(--color-accent-hover) refs 11</t>
  </si>
  <si>
    <t xml:space="preserve">--color-accent-tint</t>
  </si>
  <si>
    <t xml:space="preserve">#e8f7f2</t>
  </si>
  <si>
    <t xml:space="preserve">utility form (bg-accent-tint, text-accent-tint...) used 0x; arbitrary var form used 11x {'from': 4, 'bg': 7}; total var(--color-accent-tint) refs 11</t>
  </si>
  <si>
    <t xml:space="preserve">--color-background</t>
  </si>
  <si>
    <t xml:space="preserve">var(--background) #ffffff</t>
  </si>
  <si>
    <t xml:space="preserve">utility form (bg-background, text-background...) used 2x; arbitrary var form used 0x {}; total var(--color-background) refs 0; duplicates bg/fg via :root, used by body{} and 6 bg-/text-/border- utilities (join/following)</t>
  </si>
  <si>
    <t xml:space="preserve">--color-foreground</t>
  </si>
  <si>
    <t xml:space="preserve">var(--foreground) #1a1a1a</t>
  </si>
  <si>
    <t xml:space="preserve">utility form (bg-foreground, text-foreground...) used 4x; arbitrary var form used 0x {}; total var(--color-foreground) refs 0; duplicates bg/fg via :root, used by body{} and 6 bg-/text-/border- utilities (join/following)</t>
  </si>
  <si>
    <t xml:space="preserve">--color-ownership-coop</t>
  </si>
  <si>
    <t xml:space="preserve">#0e6b2e</t>
  </si>
  <si>
    <t xml:space="preserve">Never referenced; same hex duplicated in lib/map-config.ts:17-22 and card-gallery literals</t>
  </si>
  <si>
    <t xml:space="preserve">--color-ownership-independent</t>
  </si>
  <si>
    <t xml:space="preserve">#1b7a3d</t>
  </si>
  <si>
    <t xml:space="preserve">--color-ownership-mission-driven</t>
  </si>
  <si>
    <t xml:space="preserve">#5a8f66</t>
  </si>
  <si>
    <t xml:space="preserve">--color-ownership-local-franchise</t>
  </si>
  <si>
    <t xml:space="preserve">#97a89a</t>
  </si>
  <si>
    <t xml:space="preserve">--color-ownership-challenger</t>
  </si>
  <si>
    <t xml:space="preserve">#b0b0b0</t>
  </si>
  <si>
    <t xml:space="preserve">--color-ownership-pe-corporate</t>
  </si>
  <si>
    <t xml:space="preserve">#2a2a2a</t>
  </si>
  <si>
    <t xml:space="preserve">--color-danger</t>
  </si>
  <si>
    <t xml:space="preserve">UNDEFINED</t>
  </si>
  <si>
    <t xml:space="preserve">nowhere</t>
  </si>
  <si>
    <t xml:space="preserve">4x with #b00 fallback; LocationPlaceFields.tsx:226 with no fallback (invalid -&gt; inherits). Meanwhile text-red-600 used 21x.</t>
  </si>
  <si>
    <t xml:space="preserve">radius</t>
  </si>
  <si>
    <t xml:space="preserve">--radius-sm</t>
  </si>
  <si>
    <t xml:space="preserve">0.5rem (overrides TW 0.25rem)</t>
  </si>
  <si>
    <t xml:space="preserve">rounded-sm used 0x</t>
  </si>
  <si>
    <t xml:space="preserve">--radius-md</t>
  </si>
  <si>
    <t xml:space="preserve">0.75rem (overrides TW 0.375rem)</t>
  </si>
  <si>
    <t xml:space="preserve">rounded-md 3x + rounded-[--radius-md] 1x (v3 syntax)</t>
  </si>
  <si>
    <t xml:space="preserve">--radius-lg</t>
  </si>
  <si>
    <t xml:space="preserve">1rem (overrides TW 0.5rem)</t>
  </si>
  <si>
    <t xml:space="preserve">rounded-lg 26x incl. .input. INVERTED: rounded-lg(1rem) &gt; rounded-xl(0.75rem); rounded-md == rounded-xl; rounded-lg == rounded-2xl</t>
  </si>
  <si>
    <t xml:space="preserve">rounded-xl (TW default --radius-xl)</t>
  </si>
  <si>
    <t xml:space="preserve">0.75rem</t>
  </si>
  <si>
    <t xml:space="preserve">tailwindcss 4.2.2 theme</t>
  </si>
  <si>
    <t xml:space="preserve">.btn-*, .card; same value as app --radius-md</t>
  </si>
  <si>
    <t xml:space="preserve">rounded-2xl (TW default)</t>
  </si>
  <si>
    <t xml:space="preserve">1rem</t>
  </si>
  <si>
    <t xml:space="preserve">tailwindcss theme</t>
  </si>
  <si>
    <t xml:space="preserve">15 rounded-2xl + 10 rounded-t-2xl (sheets); same value as app --radius-lg</t>
  </si>
  <si>
    <t xml:space="preserve">rounded (bare, TW --radius)</t>
  </si>
  <si>
    <t xml:space="preserve">0.25rem</t>
  </si>
  <si>
    <t xml:space="preserve">Off the app scale</t>
  </si>
  <si>
    <t xml:space="preserve">rounded-full</t>
  </si>
  <si>
    <t xml:space="preserve">9999px</t>
  </si>
  <si>
    <t xml:space="preserve">tailwindcss</t>
  </si>
  <si>
    <t xml:space="preserve">45 files</t>
  </si>
  <si>
    <t xml:space="preserve">shadow</t>
  </si>
  <si>
    <t xml:space="preserve">--shadow-sm</t>
  </si>
  <si>
    <t xml:space="preserve">0 1px 2px rgba(0,0,0,.04)</t>
  </si>
  <si>
    <t xml:space="preserve">--shadow-md</t>
  </si>
  <si>
    <t xml:space="preserve">0 6px 16px rgba(0,0,0,.12)</t>
  </si>
  <si>
    <t xml:space="preserve">Same value re-typed as shadow-[0_6px_16px_rgba(0,0,0,0.12)] 2x and as --lift-shadow; mirrored shadow-[0_-6px_16px..] 3x</t>
  </si>
  <si>
    <t xml:space="preserve">--shadow-lg</t>
  </si>
  <si>
    <t xml:space="preserve">0 12px 32px rgba(0,0,0,.16)</t>
  </si>
  <si>
    <t xml:space="preserve">Plus near-miss arbitraries 0_8px_24px, 0_-8px_24px x2, 0_8px_32px</t>
  </si>
  <si>
    <t xml:space="preserve">shadow (bare TW default)</t>
  </si>
  <si>
    <t xml:space="preserve">TW default</t>
  </si>
  <si>
    <t xml:space="preserve">2 files</t>
  </si>
  <si>
    <t xml:space="preserve">layout</t>
  </si>
  <si>
    <t xml:space="preserve">--nav-height</t>
  </si>
  <si>
    <t xml:space="preserve">44px</t>
  </si>
  <si>
    <t xml:space="preserve">app/globals.css :root</t>
  </si>
  <si>
    <t xml:space="preserve">Only BrowseSurface uses it; BottomNav h-11, HomeFeed calc(64px+..), 12x pb-24, 3x bottom-20 are ad-hoc</t>
  </si>
  <si>
    <t xml:space="preserve">motion</t>
  </si>
  <si>
    <t xml:space="preserve">lift</t>
  </si>
  <si>
    <t xml:space="preserve">@utility</t>
  </si>
  <si>
    <t xml:space="preserve">Only via .card-hover</t>
  </si>
  <si>
    <t xml:space="preserve">press</t>
  </si>
  <si>
    <t xml:space="preserve">10 files + inside btn/chip recipes</t>
  </si>
  <si>
    <t xml:space="preserve">nudge</t>
  </si>
  <si>
    <t xml:space="preserve">Only ScopeSheet</t>
  </si>
  <si>
    <t xml:space="preserve">reacts</t>
  </si>
  <si>
    <t xml:space="preserve">ExploreSearchBar, ListMapToggle, OwnerBar</t>
  </si>
  <si>
    <t xml:space="preserve">.btn-primary</t>
  </si>
  <si>
    <t xml:space="preserve">22 files</t>
  </si>
  <si>
    <t xml:space="preserve">.btn-secondary</t>
  </si>
  <si>
    <t xml:space="preserve">16 files</t>
  </si>
  <si>
    <t xml:space="preserve">15 files; background #fff literal</t>
  </si>
  <si>
    <t xml:space="preserve">.card</t>
  </si>
  <si>
    <t xml:space="preserve">16 files; bg-white not bg-bg</t>
  </si>
  <si>
    <t xml:space="preserve">.chip / .chip-selected</t>
  </si>
  <si>
    <t xml:space="preserve">chip 6, chip-selected 2; 5+ hand-rolled chip variants</t>
  </si>
  <si>
    <t xml:space="preserve">Findings</t>
  </si>
  <si>
    <t xml:space="preserve">Token colour UTILITIES (bg-accent, text-fg-muted, border-border...) are used 0x; all 396 token refs use verbose x-[var(--color-*)] (text-fg 97, text-fg-muted 86, text-accent 49, text-charcoal-900 41, bg-accent 21).</t>
  </si>
  <si>
    <t xml:space="preserve">Raw Tailwind palette: 348 uses across 73 files ({'neutral': 251, 'red': 25, 'amber': 12, 'gray': 37, 'zinc': 22, 'blue': 1}) — neutral-* is a parallel grey system to fg/fg-muted/border.</t>
  </si>
  <si>
    <t xml:space="preserve">bg-white 54x / text-white 38x / bg-black scrims 12x at 4 opacities (20/30/40/50); bg-bg never used.</t>
  </si>
  <si>
    <t xml:space="preserve">--color-danger undefined but referenced 5x (4 with #b00 fallback, LocationPlaceFields:226 none); errors otherwise text-red-600 21x + red-500/700.</t>
  </si>
  <si>
    <t xml:space="preserve">6 ownership tokens never used; lib/map-config.ts redeclares same hex; lib/categories.ts has 9 pin hexes with no tokens; Map.tsx #374151.</t>
  </si>
  <si>
    <t xml:space="preserve">Radius scale inverted by @theme override: rounded-lg=1rem &gt; rounded-xl=0.75rem; .input rounded-lg vs .btn/.card rounded-xl; rounded-md(3)==rounded-xl(35); rounded-lg(26)==rounded-2xl(25); bare rounded 0.25rem 22x; rounded-full 79x.</t>
  </si>
  <si>
    <t xml:space="preserve">Charcoal-700 used as CTA fill on 5 sheet buttons + 1 toast and as selected state on 4 pills, contradicting globals.css; selected state has 3 colours (fg/.chip-selected, charcoal-700, accent).</t>
  </si>
  <si>
    <t xml:space="preserve">Shadows: 9 arbitrary shadow-[...] (5 distinct) + map-pin rgba literals, mostly re-typing --shadow-md/lg.</t>
  </si>
  <si>
    <t xml:space="preserve">Type: text-sm 350, text-xs 96; arbitrary px sizes 9/10/11/13/15/17/22/26 (27 uses); h1 uses 5 sizes with no PageHeader.</t>
  </si>
  <si>
    <t xml:space="preserve">Weights: font-medium 142 vs font-semibold 121 used interchangeably for buttons.</t>
  </si>
  <si>
    <t xml:space="preserve">Breakpoints: sm: 9, md: ~90, lg:/xl:/2xl: 0. 105 of 126 .tsx files have no responsive prefix, incl. whole screens (shop page, item pages, member profile, You&gt;Sell, composers' content, auth, onboarding, admin, Explore page wrapper).</t>
  </si>
  <si>
    <t xml:space="preserve">Same sheet pattern switches at sm: (ScopeSheet, SignInPrompt) vs md: (FilterSheet, ReportSheet, AddEntityDrawer, MultiStepComposer, MarketSelector, AuthGateModal).</t>
  </si>
  <si>
    <t xml:space="preserve">Containers: 12 max-w values; content pages split max-w-3xl (8 files), 2xl (item pages), 4xl (/p), 5xl (Explore bar), xl (admin/edit/join/browse), md (You/Following).</t>
  </si>
  <si>
    <t xml:space="preserve">--nav-height used once; BottomNav h-11, HomeFeed 64px, pb-24 12x, bottom-20 3x are ad-hoc clearances.</t>
  </si>
  <si>
    <t xml:space="preserve">44px targets written 3 ways: min-h-11 16, min-h-[44px] 11, h-11/w-11 6/5; several close buttons are p-1 icons.</t>
  </si>
  <si>
    <t xml:space="preserve">~10 sheet/modal implementations, no shared Sheet primitive; scrim, z-index (40/50/[60]), shadow and breakpoint vary.</t>
  </si>
  <si>
    <t xml:space="preserve">Buttons: .btn-primary 29x but ~21 hand-rolled accent buttons; 4 Follow buttons; 3 near-identical Add*Button; Toast exists but re-implemented 5x.</t>
  </si>
  <si>
    <t xml:space="preserve">Area pickers ScopeSheet / MarketSelector / ScopePicker / MarketPill duplicate one job; SearchBar (dead) vs ExploreSearchBar (live).</t>
  </si>
  <si>
    <t xml:space="preserve">Orphans (0 importers): AuthButton, CategoryInput, HomeFeed, Map, MapPreview, MarketPill, OwnershipBadge, OwnershipSelector, ReportForm, Sparkline, SupportButton, MarketForm, SignInPrompt, LocalityFeed(paused) + dependants SearchBar, PageDetailCard, EventCard, RecruitmentGrid, AuthCtaButtons, PillarSelector — hold most zinc-* and all dark: usage.</t>
  </si>
  <si>
    <t xml:space="preserve">Redundant tokens: --color-charcoal == --color-charcoal-700; --color-background/--color-foreground duplicate bg/fg.</t>
  </si>
  <si>
    <t xml:space="preserve">Count</t>
  </si>
  <si>
    <t xml:space="preserve">arbitrary-size</t>
  </si>
  <si>
    <t xml:space="preserve">min-h-[44px]</t>
  </si>
  <si>
    <t xml:space="preserve">app/g/[handle]/edit/EditPageForm.tsx, components/group/AnnouncementFields.tsx, components/locations/LocationPlaceFields.tsx, components/sell/SellWalkthrough.tsx</t>
  </si>
  <si>
    <t xml:space="preserve">min-h-[2.5rem]</t>
  </si>
  <si>
    <t xml:space="preserve">components/browse/WithheldAnnouncementCard.tsx, components/cards/ExampleCard.tsx, components/cards/TileCard.tsx</t>
  </si>
  <si>
    <t xml:space="preserve">max-h-[70vh]</t>
  </si>
  <si>
    <t xml:space="preserve">components/explore/ExploreFilterSheet.tsx, components/group/PageDetailCard.tsx, components/group/ReportSheet.tsx</t>
  </si>
  <si>
    <t xml:space="preserve">min-h-[5rem]</t>
  </si>
  <si>
    <t xml:space="preserve">components/sell/GatheringComposer.tsx, components/sell/ProductComposer.tsx, components/sell/ServiceComposer.tsx</t>
  </si>
  <si>
    <t xml:space="preserve">min-h-[6rem]</t>
  </si>
  <si>
    <t xml:space="preserve">app/(dev)/composer-demo/page.tsx, components/sell/SellWalkthrough.tsx</t>
  </si>
  <si>
    <t xml:space="preserve">max-h-[85vh]</t>
  </si>
  <si>
    <t xml:space="preserve">components/MarketSelector.tsx, components/ReportForm.tsx</t>
  </si>
  <si>
    <t xml:space="preserve">min-h-[1.25rem]</t>
  </si>
  <si>
    <t xml:space="preserve">components/cards/ExampleCard.tsx, components/cards/TileCard.tsx</t>
  </si>
  <si>
    <t xml:space="preserve">max-h-[90vh]</t>
  </si>
  <si>
    <t xml:space="preserve">components/composer/AddEntityDrawer.tsx, components/composer/MultiStepComposer.tsx</t>
  </si>
  <si>
    <t xml:space="preserve">h-[70vh]</t>
  </si>
  <si>
    <t xml:space="preserve">components/browse/BrowseSurface.tsx</t>
  </si>
  <si>
    <t xml:space="preserve">w-[min(78vw,20rem)]</t>
  </si>
  <si>
    <t xml:space="preserve">components/browse/FollowingRow.tsx</t>
  </si>
  <si>
    <t xml:space="preserve">min-h-[3.75rem]</t>
  </si>
  <si>
    <t xml:space="preserve">min-w-[5rem]</t>
  </si>
  <si>
    <t xml:space="preserve">min-w-[6rem]</t>
  </si>
  <si>
    <t xml:space="preserve">max-h-[75vh]</t>
  </si>
  <si>
    <t xml:space="preserve">w-[28rem]</t>
  </si>
  <si>
    <t xml:space="preserve">container</t>
  </si>
  <si>
    <t xml:space="preserve">max-w-3xl</t>
  </si>
  <si>
    <t xml:space="preserve">app/following/page.tsx, app/join/page.tsx, app/you/page.tsx, app/you/sell/page.tsx, components/feed/LocalityFeed.tsx, components/group/ShopPublicPage.tsx, components/member/MemberPublicPage.tsx, components/venue/VenuePublicPage.tsx</t>
  </si>
  <si>
    <t xml:space="preserve">max-w-md</t>
  </si>
  <si>
    <t xml:space="preserve">app/following/page.tsx, app/m/[handle]/page.tsx, app/you/page.tsx, components/composer/AddEntityDrawer.tsx, components/explore/ScopeSheet.tsx, components/onboarding/OnboardingFlow.tsx</t>
  </si>
  <si>
    <t xml:space="preserve">max-w-xl</t>
  </si>
  <si>
    <t xml:space="preserve">app/admin/reports/page.tsx, app/g/[handle]/edit/page.tsx, app/join/page.tsx, components/browse/BrowseSurface.tsx</t>
  </si>
  <si>
    <t xml:space="preserve">max-w-sm</t>
  </si>
  <si>
    <t xml:space="preserve">app/auth/login/page.tsx, app/auth/password/page.tsx, components/AuthGateModal.tsx, components/auth/SignInPrompt.tsx</t>
  </si>
  <si>
    <t xml:space="preserve">max-w-2xl</t>
  </si>
  <si>
    <t xml:space="preserve">app/you/following/page.tsx, components/item/GatheringPublicPage.tsx, components/item/ProductPublicPage.tsx, components/item/ServicePublicPage.tsx</t>
  </si>
  <si>
    <t xml:space="preserve">max-w-lg</t>
  </si>
  <si>
    <t xml:space="preserve">components/MarketSelector.tsx, components/ReportForm.tsx, components/composer/MultiStepComposer.tsx</t>
  </si>
  <si>
    <t xml:space="preserve">md:w-96 / md:w-[28rem] (sheet widths)</t>
  </si>
  <si>
    <t xml:space="preserve">components/explore/ExploreFilterSheet.tsx, components/metro/MetroStandingDialog.tsx, components/group/ReportSheet.tsx (28rem)</t>
  </si>
  <si>
    <t xml:space="preserve">max-w-5xl</t>
  </si>
  <si>
    <t xml:space="preserve">max-w-full</t>
  </si>
  <si>
    <t xml:space="preserve">app/join/page.tsx</t>
  </si>
  <si>
    <t xml:space="preserve">max-w-4xl</t>
  </si>
  <si>
    <t xml:space="preserve">app/p/[...slug]/page.tsx</t>
  </si>
  <si>
    <t xml:space="preserve">max-w-[420px]</t>
  </si>
  <si>
    <t xml:space="preserve">max-w-[14ch]</t>
  </si>
  <si>
    <t xml:space="preserve">max-w-32</t>
  </si>
  <si>
    <t xml:space="preserve">components/YouBadge.tsx</t>
  </si>
  <si>
    <t xml:space="preserve">dark-mode-variants</t>
  </si>
  <si>
    <t xml:space="preserve">dark:*</t>
  </si>
  <si>
    <t xml:space="preserve">components/PillarSelector.tsx, components/Map.tsx, components/CategoryInput.tsx, components/ReportForm.tsx, components/OwnershipSelector.tsx</t>
  </si>
  <si>
    <t xml:space="preserve">font-weight</t>
  </si>
  <si>
    <t xml:space="preserve">font-medium</t>
  </si>
  <si>
    <t xml:space="preserve">app/(dev)/add-entity-demo/page.tsx, app/(dev)/composer-demo/page.tsx, app/admin/reports/ReportEntry.tsx, app/following/page.tsx, app/g/[handle]/edit/EditPageForm.tsx, app/join/page.tsx, app/you/page.tsx, app/you/sell/page.tsx, components/AuthCtaButtons.tsx, components/AuthGateModal.tsx, components/BottomNav.tsx, components/CategoryInput.tsx …</t>
  </si>
  <si>
    <t xml:space="preserve">font-semibold</t>
  </si>
  <si>
    <t xml:space="preserve">app/(dev)/add-entity-demo/page.tsx, app/(dev)/card-gallery/page.tsx, app/(dev)/composer-demo/page.tsx, app/admin/reports/ReportEntry.tsx, app/admin/reports/page.tsx, app/auth/password/page.tsx, app/following/page.tsx, app/g/[handle]/edit/page.tsx, app/join/page.tsx, app/m/[handle]/page.tsx, app/p/[...slug]/page.tsx, app/you/following/page.tsx …</t>
  </si>
  <si>
    <t xml:space="preserve">font-normal</t>
  </si>
  <si>
    <t xml:space="preserve">app/you/page.tsx, components/group/AnnouncementFields.tsx, components/metro/MetroStandingDialog.tsx, components/venue/VenuePublicPage.tsx</t>
  </si>
  <si>
    <t xml:space="preserve">font-bold</t>
  </si>
  <si>
    <t xml:space="preserve">components/ReportForm.tsx, components/venue/VenuePublicPage.tsx</t>
  </si>
  <si>
    <t xml:space="preserve">hex</t>
  </si>
  <si>
    <t xml:space="preserve">app/(dev)/card-gallery/page.tsx, lib/map-config.ts</t>
  </si>
  <si>
    <t xml:space="preserve">#374151</t>
  </si>
  <si>
    <t xml:space="preserve">#b45309</t>
  </si>
  <si>
    <t xml:space="preserve">lib/categories.ts</t>
  </si>
  <si>
    <t xml:space="preserve">#15803d</t>
  </si>
  <si>
    <t xml:space="preserve">#d97706</t>
  </si>
  <si>
    <t xml:space="preserve">#0369a1</t>
  </si>
  <si>
    <t xml:space="preserve">#a16207</t>
  </si>
  <si>
    <t xml:space="preserve">#be185d</t>
  </si>
  <si>
    <t xml:space="preserve">#7c3aed</t>
  </si>
  <si>
    <t xml:space="preserve">#b91c1c</t>
  </si>
  <si>
    <t xml:space="preserve">#64748b</t>
  </si>
  <si>
    <t xml:space="preserve">lib/map-config.ts</t>
  </si>
  <si>
    <t xml:space="preserve">app/admin/reports/ReportEntry.tsx, app/join/page.tsx, app/you/page.tsx, components/AuthCtaButtons.tsx, components/EventCard.tsx, components/FollowButton.tsx, components/HomeFeed.tsx, components/MarketPill.tsx, components/OwnershipBadge.tsx, components/OwnershipSelector.tsx, components/PersonMark.tsx, components/RecruitmentGrid.tsx …</t>
  </si>
  <si>
    <t xml:space="preserve">rounded-xl</t>
  </si>
  <si>
    <t xml:space="preserve">app/admin/reports/ReportEntry.tsx, app/following/page.tsx, app/join/page.tsx, app/you/page.tsx, app/you/sell/page.tsx, components/HomeFeed.tsx, components/Map.tsx, components/MapPreview.tsx, components/RecruitmentGrid.tsx, components/browse/BrowseMap.tsx, components/browse/BrowseSurface.tsx, components/browse/WithheldAnnouncementCard.tsx …</t>
  </si>
  <si>
    <t xml:space="preserve">rounded-lg</t>
  </si>
  <si>
    <t xml:space="preserve">app/admin/reports/ReportEntry.tsx, app/following/page.tsx, app/you/page.tsx, components/MarketSelector.tsx, components/OwnershipSelector.tsx, components/PillarSelector.tsx, components/RecruitmentGrid.tsx, components/admin/MarketForm.tsx, components/browse/WithheldAnnouncementCard.tsx, components/explore/ScopeSheet.tsx, components/group/PageDetailCard.tsx, components/group/WithheldPagePosts.tsx …</t>
  </si>
  <si>
    <t xml:space="preserve">rounded</t>
  </si>
  <si>
    <t xml:space="preserve">actions/metro/waitlist-join-anonymous.ts, app/(dev)/add-entity-demo/page.tsx, app/(dev)/composer-demo/page.tsx, app/p/[...slug]/page.tsx, components/CategoryInput.tsx, components/ReportForm.tsx, components/group/LocallyOwnedClaim.tsx, components/group/PagePosts.tsx, components/group/ReportSheet.tsx, components/group/ShopPublicPage.tsx, components/media/PagePhotoPicker.tsx, components/member/MemberPublicPage.tsx …</t>
  </si>
  <si>
    <t xml:space="preserve">rounded-2xl</t>
  </si>
  <si>
    <t xml:space="preserve">components/AuthGateModal.tsx, components/MarketSelector.tsx, components/RecruitmentGrid.tsx, components/SearchBar.tsx, components/auth/SignInPrompt.tsx, components/cards/ExampleBlock.tsx, components/composer/AddEntityDrawer.tsx, components/composer/MultiStepComposer.tsx, components/explore/ExploreFilterSheet.tsx, components/explore/MetroNotCoveredPanel.tsx, components/explore/ScopeSheet.tsx, components/group/ReportControl.tsx …</t>
  </si>
  <si>
    <t xml:space="preserve">rounded-t-2xl</t>
  </si>
  <si>
    <t xml:space="preserve">components/MarketSelector.tsx, components/ReportForm.tsx, components/auth/SignInPrompt.tsx, components/composer/AddEntityDrawer.tsx, components/composer/MultiStepComposer.tsx, components/explore/ExploreFilterSheet.tsx, components/explore/ScopeSheet.tsx, components/group/PageDetailCard.tsx, components/group/ReportSheet.tsx</t>
  </si>
  <si>
    <t xml:space="preserve">rounded-md</t>
  </si>
  <si>
    <t xml:space="preserve">app/following/page.tsx, components/MarketSelector.tsx, components/locations/LocationPlaceFields.tsx</t>
  </si>
  <si>
    <t xml:space="preserve">rounded-[--radius-md]</t>
  </si>
  <si>
    <t xml:space="preserve">components/venue/VenuePublicPage.tsx</t>
  </si>
  <si>
    <t xml:space="preserve">raw-palette</t>
  </si>
  <si>
    <t xml:space="preserve">text-neutral-600</t>
  </si>
  <si>
    <t xml:space="preserve">app/following/page.tsx, app/join/page.tsx, app/m/[handle]/page.tsx, app/you/following/page.tsx, app/you/page.tsx, app/you/sell/page.tsx, components/AuthGateModal.tsx, components/BottomNav.tsx, components/EventCard.tsx, components/HomeFeed.tsx, components/MarketSelector.tsx, components/RecruitmentGrid.tsx …</t>
  </si>
  <si>
    <t xml:space="preserve">text-neutral-500</t>
  </si>
  <si>
    <t xml:space="preserve">app/following/page.tsx, app/you/page.tsx, app/you/sell/page.tsx, components/AuthGateModal.tsx, components/EventCard.tsx, components/HomeFeed.tsx, components/MarketPill.tsx, components/MarketSelector.tsx, components/RecruitmentGrid.tsx, components/auth/EmailFirstSignup.tsx, components/cards/MetricTile.tsx, components/composer/AddEntityDrawer.tsx …</t>
  </si>
  <si>
    <t xml:space="preserve">border-neutral-200</t>
  </si>
  <si>
    <t xml:space="preserve">app/following/page.tsx, app/join/page.tsx, app/you/page.tsx, app/you/sell/page.tsx, components/AuthGateModal.tsx, components/BottomNav.tsx, components/HomeFeed.tsx, components/MarketSelector.tsx, components/RecruitmentGrid.tsx, components/admin/MarketForm.tsx, components/auth/EmailFirstSignup.tsx, components/browse/BrowseMap.tsx …</t>
  </si>
  <si>
    <t xml:space="preserve">text-neutral-900</t>
  </si>
  <si>
    <t xml:space="preserve">app/following/page.tsx, app/join/page.tsx, app/m/[handle]/page.tsx, app/you/page.tsx, components/AuthCtaButtons.tsx, components/AuthGateModal.tsx, components/BottomNav.tsx, components/EventCard.tsx, components/FollowButton.tsx, components/HomeFeed.tsx, components/MarketSelector.tsx, components/RecruitmentGrid.tsx …</t>
  </si>
  <si>
    <t xml:space="preserve">bg-neutral-100</t>
  </si>
  <si>
    <t xml:space="preserve">app/(dev)/add-entity-demo/page.tsx, app/(dev)/composer-demo/page.tsx, app/join/page.tsx, app/you/page.tsx, components/HomeFeed.tsx, components/MarketPill.tsx, components/RecruitmentGrid.tsx, components/YouBadge.tsx, components/explore/ExploreFilterSheet.tsx, components/explore/ExploreSearchBar.tsx, components/follows/FollowCard.tsx, components/follows/FollowingManager.tsx …</t>
  </si>
  <si>
    <t xml:space="preserve">text-red-600</t>
  </si>
  <si>
    <t xml:space="preserve">app/auth/login/page.tsx, components/CategoryInput.tsx, components/OwnershipSelector.tsx, components/PillarSelector.tsx, components/ReportForm.tsx, components/SupportButton.tsx, components/admin/MarketForm.tsx, components/auth/EmailFirstSignup.tsx, components/auth/MagicLinkForm.tsx, components/composer/AddEntityDrawer.tsx, components/composer/MultiStepComposer.tsx, components/follows/FollowingManager.tsx …</t>
  </si>
  <si>
    <t xml:space="preserve">text-neutral-700</t>
  </si>
  <si>
    <t xml:space="preserve">app/join/page.tsx, app/you/page.tsx, components/AuthCtaButtons.tsx, components/HomeFeed.tsx, components/RecruitmentGrid.tsx, components/auth/EmailFirstSignup.tsx, components/cards/AnnouncementCard.tsx, components/follows/FollowingManager.tsx, components/follows/FollowingSummary.tsx, components/sell/SellCta.tsx</t>
  </si>
  <si>
    <t xml:space="preserve">border-neutral-300</t>
  </si>
  <si>
    <t xml:space="preserve">app/join/page.tsx, app/you/page.tsx, components/FollowButton.tsx, components/HomeFeed.tsx, components/MarketSelector.tsx, components/RecruitmentGrid.tsx, components/auth/EmailFirstSignup.tsx, components/explore/ExploreSearchBar.tsx, components/follows/FollowingManager.tsx, components/sell/GatheringComposer.tsx, components/sell/ProductComposer.tsx, components/sell/SellWalkthrough.tsx …</t>
  </si>
  <si>
    <t xml:space="preserve">bg-neutral-50</t>
  </si>
  <si>
    <t xml:space="preserve">app/join/page.tsx, components/RecruitmentGrid.tsx, components/auth/EmailFirstSignup.tsx, components/group/HiddenPhotoNotice.tsx, components/locations/LocationPlaceFields.tsx, components/sell/GatheringComposer.tsx, components/sell/ProductComposer.tsx, components/sell/SellWalkthrough.tsx, components/sell/ServiceComposer.tsx</t>
  </si>
  <si>
    <t xml:space="preserve">text-gray-600</t>
  </si>
  <si>
    <t xml:space="preserve">app/p/[...slug]/page.tsx, components/group/LocallyOwnedClaim.tsx, components/group/ShopPublicPage.tsx, components/member/MemberPublicPage.tsx, components/venue/VenuePublicPage.tsx</t>
  </si>
  <si>
    <t xml:space="preserve">text-gray-500</t>
  </si>
  <si>
    <t xml:space="preserve">app/p/[...slug]/page.tsx, components/group/PagePosts.tsx, components/group/ShopPublicPage.tsx, components/member/MemberPublicPage.tsx, components/venue/VenuePublicPage.tsx</t>
  </si>
  <si>
    <t xml:space="preserve">text-neutral-800</t>
  </si>
  <si>
    <t xml:space="preserve">app/join/page.tsx, components/EventCard.tsx, components/MarketPill.tsx, components/auth/EmailFirstSignup.tsx, components/follows/FollowCard.tsx, components/follows/FollowingManager.tsx, components/group/PageDetailCard.tsx</t>
  </si>
  <si>
    <t xml:space="preserve">text-neutral-400</t>
  </si>
  <si>
    <t xml:space="preserve">components/MarketSelector.tsx, components/RecruitmentGrid.tsx, components/auth/EmailFirstSignup.tsx, components/cards/MetricTile.tsx, components/explore/ExploreSearchBar.tsx</t>
  </si>
  <si>
    <t xml:space="preserve">text-gray-700</t>
  </si>
  <si>
    <t xml:space="preserve">components/group/LocallyOwnedClaim.tsx, components/group/ShopPublicPage.tsx</t>
  </si>
  <si>
    <t xml:space="preserve">border-gray-300</t>
  </si>
  <si>
    <t xml:space="preserve">app/p/[...slug]/page.tsx, components/group/LocallyOwnedClaim.tsx, components/group/PagePosts.tsx, components/group/ShopPublicPage.tsx, components/member/MemberPublicPage.tsx</t>
  </si>
  <si>
    <t xml:space="preserve">to-amber-100</t>
  </si>
  <si>
    <t xml:space="preserve">app/following/page.tsx, components/EventCard.tsx, components/RecruitmentGrid.tsx</t>
  </si>
  <si>
    <t xml:space="preserve">bg-neutral-200</t>
  </si>
  <si>
    <t xml:space="preserve">app/you/page.tsx, components/HomeFeed.tsx, components/MarketPill.tsx, components/PersonMark.tsx</t>
  </si>
  <si>
    <t xml:space="preserve">bg-zinc-900</t>
  </si>
  <si>
    <t xml:space="preserve">components/CategoryInput.tsx, components/Map.tsx, components/ReportForm.tsx</t>
  </si>
  <si>
    <t xml:space="preserve">bg-zinc-800</t>
  </si>
  <si>
    <t xml:space="preserve">components/CategoryInput.tsx, components/OwnershipSelector.tsx, components/PillarSelector.tsx, components/Toast.tsx</t>
  </si>
  <si>
    <t xml:space="preserve">bg-neutral-900</t>
  </si>
  <si>
    <t xml:space="preserve">components/sell/AddGatheringButton.tsx, components/sell/AddProductButton.tsx, components/sell/AddServiceButton.tsx, components/sell/SellCta.tsx</t>
  </si>
  <si>
    <t xml:space="preserve">text-zinc-400</t>
  </si>
  <si>
    <t xml:space="preserve">components/Map.tsx, components/ReportForm.tsx</t>
  </si>
  <si>
    <t xml:space="preserve">text-zinc-500</t>
  </si>
  <si>
    <t xml:space="preserve">components/OwnershipSelector.tsx, components/PillarSelector.tsx, components/SupportButton.tsx</t>
  </si>
  <si>
    <t xml:space="preserve">text-gray-400</t>
  </si>
  <si>
    <t xml:space="preserve">components/member/MemberPublicPage.tsx, components/place-breadcrumb.tsx</t>
  </si>
  <si>
    <t xml:space="preserve">border-neutral-400</t>
  </si>
  <si>
    <t xml:space="preserve">components/FollowButton.tsx, components/MarketSelector.tsx</t>
  </si>
  <si>
    <t xml:space="preserve">bg-zinc-50</t>
  </si>
  <si>
    <t xml:space="preserve">components/OwnershipSelector.tsx, components/PillarSelector.tsx</t>
  </si>
  <si>
    <t xml:space="preserve">border-zinc-200</t>
  </si>
  <si>
    <t xml:space="preserve">border-zinc-700</t>
  </si>
  <si>
    <t xml:space="preserve">bg-amber-100</t>
  </si>
  <si>
    <t xml:space="preserve">text-amber-700</t>
  </si>
  <si>
    <t xml:space="preserve">bg-zinc-100</t>
  </si>
  <si>
    <t xml:space="preserve">components/CategoryInput.tsx</t>
  </si>
  <si>
    <t xml:space="preserve">text-zinc-600</t>
  </si>
  <si>
    <t xml:space="preserve">bg-neutral-700</t>
  </si>
  <si>
    <t xml:space="preserve">components/PersonMark.tsx</t>
  </si>
  <si>
    <t xml:space="preserve">text-amber-800</t>
  </si>
  <si>
    <t xml:space="preserve">via-amber-50</t>
  </si>
  <si>
    <t xml:space="preserve">fill-amber-500</t>
  </si>
  <si>
    <t xml:space="preserve">text-amber-500</t>
  </si>
  <si>
    <t xml:space="preserve">text-red-500</t>
  </si>
  <si>
    <t xml:space="preserve">bg-red-100</t>
  </si>
  <si>
    <t xml:space="preserve">bg-red-50</t>
  </si>
  <si>
    <t xml:space="preserve">border-neutral-100</t>
  </si>
  <si>
    <t xml:space="preserve">components/follows/FollowingManager.tsx</t>
  </si>
  <si>
    <t xml:space="preserve">text-red-700</t>
  </si>
  <si>
    <t xml:space="preserve">border-gray-200</t>
  </si>
  <si>
    <t xml:space="preserve">border-gray-400</t>
  </si>
  <si>
    <t xml:space="preserve">components/group/ShopPublicPage.tsx</t>
  </si>
  <si>
    <t xml:space="preserve">bg-gray-50</t>
  </si>
  <si>
    <t xml:space="preserve">text-gray-900</t>
  </si>
  <si>
    <t xml:space="preserve">components/member/MemberPublicPage.tsx</t>
  </si>
  <si>
    <t xml:space="preserve">raw-white-black</t>
  </si>
  <si>
    <t xml:space="preserve">bg-white</t>
  </si>
  <si>
    <t xml:space="preserve">app/admin/reports/ReportEntry.tsx, app/following/page.tsx, app/join/page.tsx, app/you/page.tsx, app/you/sell/page.tsx, components/AuthGateModal.tsx, components/BottomNav.tsx, components/CategoryInput.tsx, components/EventCard.tsx, components/FollowButton.tsx, components/HomeFeed.tsx, components/Map.tsx …</t>
  </si>
  <si>
    <t xml:space="preserve">text-white</t>
  </si>
  <si>
    <t xml:space="preserve">app/admin/reports/ReportEntry.tsx, app/following/page.tsx, app/join/page.tsx, app/you/page.tsx, components/AuthCtaButtons.tsx, components/FollowButton.tsx, components/HomeFeed.tsx, components/PersonMark.tsx, components/RecruitmentGrid.tsx, components/Toast.tsx, components/auth/EmailFirstSignup.tsx, components/auth/MagicLinkForm.tsx …</t>
  </si>
  <si>
    <t xml:space="preserve">bg-black</t>
  </si>
  <si>
    <t xml:space="preserve">components/AuthGateModal.tsx, components/MarketSelector.tsx, components/ReportForm.tsx, components/auth/SignInPrompt.tsx, components/composer/AddEntityDrawer.tsx, components/composer/MultiStepComposer.tsx, components/explore/ExploreFilterSheet.tsx, components/explore/ScopeSheet.tsx, components/group/ReportSheet.tsx, components/metro/MetroStandingDialog.tsx</t>
  </si>
  <si>
    <t xml:space="preserve">ring-white</t>
  </si>
  <si>
    <t xml:space="preserve">rgba</t>
  </si>
  <si>
    <t xml:space="preserve">rgba(0,0,0,0.12)</t>
  </si>
  <si>
    <t xml:space="preserve">components/SearchBar.tsx, components/auth/SignInPrompt.tsx, components/explore/ExploreFilterSheet.tsx, components/explore/ScopeSheet.tsx, components/group/PageDetailCard.tsx, components/group/PageOverflowMenu.tsx, components/group/ReportSheet.tsx</t>
  </si>
  <si>
    <t xml:space="preserve">rgba(0,0,0,0.3)</t>
  </si>
  <si>
    <t xml:space="preserve">components/Map.tsx, components/MapPreview.tsx, components/browse/BrowseMap.tsx</t>
  </si>
  <si>
    <t xml:space="preserve">rgb(255,255,255)</t>
  </si>
  <si>
    <t xml:space="preserve">components/cards/ExampleCard.tsx</t>
  </si>
  <si>
    <t xml:space="preserve">rgba(0,0,0,0.16)</t>
  </si>
  <si>
    <t xml:space="preserve">scrim</t>
  </si>
  <si>
    <t xml:space="preserve">bg-black/20|30|40|50</t>
  </si>
  <si>
    <t xml:space="preserve">/30: SignInPrompt, ReportSheet, MetroStandingDialog, ExploreFilterSheet, ScopeSheet, /40: AuthGateModal, AddEntityDrawer, MultiStepComposer, MarketSelector, /50: ReportForm x2, md:/20: ExploreFilterSheet</t>
  </si>
  <si>
    <t xml:space="preserve">shadow-lg</t>
  </si>
  <si>
    <t xml:space="preserve">components/CategoryInput.tsx, components/HomeFeed.tsx, components/Map.tsx, components/Toast.tsx, components/browse/BrowseMap.tsx, components/composer/AddEntityDrawer.tsx, components/composer/MultiStepComposer.tsx, components/group/ReportControl.tsx, components/sell/AddGatheringButton.tsx, components/sell/AddProductButton.tsx, components/sell/AddServiceButton.tsx, components/sell/SellCta.tsx</t>
  </si>
  <si>
    <t xml:space="preserve">components/cards/Card.tsx, components/sell/SellWalkthrough.tsx</t>
  </si>
  <si>
    <t xml:space="preserve">shadow-sm</t>
  </si>
  <si>
    <t xml:space="preserve">app/join/page.tsx, components/AuthCtaButtons.tsx, components/RecruitmentGrid.tsx, components/browse/WithheldAnnouncementCard.tsx</t>
  </si>
  <si>
    <t xml:space="preserve">shadow-[0_-6px_16px_rgba(0,0,0,0.12)]</t>
  </si>
  <si>
    <t xml:space="preserve">components/auth/SignInPrompt.tsx, components/explore/ScopeSheet.tsx, components/group/PageDetailCard.tsx</t>
  </si>
  <si>
    <t xml:space="preserve">shadow-[0_6px_16px_rgba(0,0,0,0.12)]</t>
  </si>
  <si>
    <t xml:space="preserve">shadow-[0_-8px_24px_rgba(0,0,0,0.12)]</t>
  </si>
  <si>
    <t xml:space="preserve">components/explore/ExploreFilterSheet.tsx, components/group/ReportSheet.tsx</t>
  </si>
  <si>
    <t xml:space="preserve">shadow-[0_8px_24px_rgba(0,0,0,0.12)]</t>
  </si>
  <si>
    <t xml:space="preserve">shadow-md</t>
  </si>
  <si>
    <t xml:space="preserve">shadow-[0_8px_32px_rgba(0,0,0,0.16)]</t>
  </si>
  <si>
    <t xml:space="preserve">spacing</t>
  </si>
  <si>
    <t xml:space="preserve">mt-1</t>
  </si>
  <si>
    <t xml:space="preserve">app/(dev)/add-entity-demo/page.tsx, app/(dev)/card-gallery/page.tsx, app/(dev)/composer-demo/page.tsx, app/admin/reports/page.tsx, app/following/page.tsx, app/g/[handle]/edit/EditPageForm.tsx, app/g/[handle]/edit/page.tsx, app/join/page.tsx, app/you/sell/page.tsx, components/CategoryInput.tsx, components/EventCard.tsx, components/HomeFeed.tsx …</t>
  </si>
  <si>
    <t xml:space="preserve">px-4</t>
  </si>
  <si>
    <t xml:space="preserve">app/(dev)/card-gallery/page.tsx, app/auth/login/page.tsx, app/auth/password/page.tsx, app/following/page.tsx, app/join/page.tsx, app/m/[handle]/page.tsx, app/p/[...slug]/page.tsx, app/you/page.tsx, app/you/sell/page.tsx, components/AuthButton.tsx, components/AuthCtaButtons.tsx, components/FollowButton.tsx …</t>
  </si>
  <si>
    <t xml:space="preserve">gap-2</t>
  </si>
  <si>
    <t xml:space="preserve">app/admin/reports/ReportEntry.tsx, app/g/[handle]/edit/EditPageForm.tsx, app/you/page.tsx, app/you/sell/page.tsx, components/AuthCtaButtons.tsx, components/AuthGateModal.tsx, components/HomeFeed.tsx, components/MarketSelector.tsx, components/OwnershipBadge.tsx, components/OwnershipSelector.tsx, components/PillarSelector.tsx, components/RecruitmentGrid.tsx …</t>
  </si>
  <si>
    <t xml:space="preserve">mt-2</t>
  </si>
  <si>
    <t xml:space="preserve">app/join/page.tsx, app/m/[handle]/page.tsx, app/p/[...slug]/page.tsx, components/AuthGateModal.tsx, components/OwnershipSelector.tsx, components/PillarSelector.tsx, components/RecruitmentGrid.tsx, components/admin/MarketForm.tsx, components/auth/SignInPrompt.tsx, components/browse/BrowseMap.tsx, components/browse/BrowseSurface.tsx, components/cards/ExampleCard.tsx …</t>
  </si>
  <si>
    <t xml:space="preserve">px-3</t>
  </si>
  <si>
    <t xml:space="preserve">app/admin/reports/ReportEntry.tsx, app/admin/reports/page.tsx, app/g/[handle]/edit/page.tsx, components/AuthCtaButtons.tsx, components/BottomNav.tsx, components/CategoryInput.tsx, components/FollowButton.tsx, components/HomeFeed.tsx, components/MarketPill.tsx, components/OwnershipSelector.tsx, components/PillarSelector.tsx, components/RecruitmentGrid.tsx …</t>
  </si>
  <si>
    <t xml:space="preserve">gap-3</t>
  </si>
  <si>
    <t xml:space="preserve">app/admin/reports/ReportEntry.tsx, app/following/page.tsx, app/join/page.tsx, app/you/page.tsx, components/HomeFeed.tsx, components/MarketSelector.tsx, components/RecruitmentGrid.tsx, components/SearchBar.tsx, components/SupportButton.tsx, components/admin/MarketForm.tsx, components/browse/BrowseMap.tsx, components/browse/FollowingRow.tsx …</t>
  </si>
  <si>
    <t xml:space="preserve">mt-3</t>
  </si>
  <si>
    <t xml:space="preserve">app/(dev)/card-gallery/page.tsx, app/following/page.tsx, app/join/page.tsx, app/you/page.tsx, components/RecruitmentGrid.tsx, components/browse/BrowseSurface.tsx, components/explore/MetroNotCoveredPanel.tsx, components/explore/ScopeSheet.tsx, components/feed/FeedEmptyState.tsx, components/follows/FollowingSummary.tsx, components/group/LocallyOwnedClaim.tsx, components/group/PagePosts.tsx …</t>
  </si>
  <si>
    <t xml:space="preserve">mt-4</t>
  </si>
  <si>
    <t xml:space="preserve">app/(dev)/add-entity-demo/page.tsx, app/admin/reports/page.tsx, app/following/page.tsx, app/join/page.tsx, app/p/[...slug]/page.tsx, app/you/page.tsx, components/HomeFeed.tsx, components/auth/SignInPrompt.tsx, components/cards/ExampleBlock.tsx, components/explore/MetroNotCoveredPanel.tsx, components/explore/ScopeSheet.tsx, components/follows/FollowingManager.tsx …</t>
  </si>
  <si>
    <t xml:space="preserve">p-4</t>
  </si>
  <si>
    <t xml:space="preserve">app/(dev)/composer-demo/page.tsx, app/admin/reports/ReportEntry.tsx, app/explore/page.tsx, app/you/following/page.tsx, app/you/page.tsx, app/you/sell/page.tsx, components/AuthGateModal.tsx, components/MarketSelector.tsx, components/RecruitmentGrid.tsx, components/cards/AnnouncementCard.tsx, components/cards/ExampleBlock.tsx, components/cards/MetricTile.tsx …</t>
  </si>
  <si>
    <t xml:space="preserve">py-3</t>
  </si>
  <si>
    <t xml:space="preserve">app/admin/reports/ReportEntry.tsx, app/join/page.tsx, app/you/page.tsx, app/you/sell/page.tsx, components/HomeFeed.tsx, components/Map.tsx, components/OwnershipSelector.tsx, components/PillarSelector.tsx, components/SearchBar.tsx, components/composer/AddEntityDrawer.tsx, components/composer/MultiStepComposer.tsx, components/explore/ExploreFilterSheet.tsx …</t>
  </si>
  <si>
    <t xml:space="preserve">py-2</t>
  </si>
  <si>
    <t xml:space="preserve">app/following/page.tsx, app/join/page.tsx, app/you/page.tsx, components/AuthButton.tsx, components/AuthCtaButtons.tsx, components/CategoryInput.tsx, components/FollowButton.tsx, components/HomeFeed.tsx, components/MarketSelector.tsx, components/RecruitmentGrid.tsx, components/ReportForm.tsx, components/SupportButton.tsx …</t>
  </si>
  <si>
    <t xml:space="preserve">px-6</t>
  </si>
  <si>
    <t xml:space="preserve">app/following/page.tsx, app/join/page.tsx, app/you/page.tsx, components/BottomNav.tsx, components/HomeFeed.tsx, components/RecruitmentGrid.tsx, components/browse/BrowseSurface.tsx, components/browse/FollowingRow.tsx, components/explore/ExploreSearchBar.tsx, components/follows/FollowingManager.tsx</t>
  </si>
  <si>
    <t xml:space="preserve">mt-6</t>
  </si>
  <si>
    <t xml:space="preserve">app/(dev)/composer-demo/page.tsx, app/following/page.tsx, app/join/page.tsx, app/you/following/page.tsx, app/you/page.tsx, app/you/sell/page.tsx, components/HomeFeed.tsx, components/follows/FollowingSummary.tsx, components/group/LocallyOwnedClaim.tsx, components/item/GatheringPublicPage.tsx, components/item/ProductPublicPage.tsx, components/item/ServicePublicPage.tsx …</t>
  </si>
  <si>
    <t xml:space="preserve">p-3</t>
  </si>
  <si>
    <t xml:space="preserve">app/admin/reports/ReportEntry.tsx, app/following/page.tsx, components/EventCard.tsx, components/MarketSelector.tsx, components/RecruitmentGrid.tsx, components/admin/MarketForm.tsx, components/browse/BrowseMap.tsx, components/feed/ItemFeedCard.tsx, components/follows/FollowCard.tsx, components/group/OwnerBar.tsx, components/group/PagePosts.tsx, components/group/ReportSheet.tsx …</t>
  </si>
  <si>
    <t xml:space="preserve">p-6</t>
  </si>
  <si>
    <t xml:space="preserve">app/following/page.tsx, app/p/[...slug]/page.tsx, app/you/page.tsx, components/AuthGateModal.tsx, components/ReportForm.tsx, components/browse/BrowseSurface.tsx, components/feed/FeedEmptyState.tsx, components/feed/LocalityFeed.tsx, components/group/HiddenPhotoNotice.tsx, components/group/PageDetailCard.tsx, components/group/PagePosts.tsx, components/group/ShopPublicPage.tsx …</t>
  </si>
  <si>
    <t xml:space="preserve">px-2</t>
  </si>
  <si>
    <t xml:space="preserve">app/(dev)/add-entity-demo/page.tsx, components/EventCard.tsx, components/RecruitmentGrid.tsx, components/YouBadge.tsx, components/auth/EmailFirstSignup.tsx, components/cards/ExampleCard.tsx, components/explore/ExploreFilterSheet.tsx, components/group/LocallyOwnedClaim.tsx, components/group/PageDetailCard.tsx, components/group/ReportControl.tsx, components/group/SocialHandleFields.tsx, components/item/ProductPublicPage.tsx …</t>
  </si>
  <si>
    <t xml:space="preserve">space-y-2</t>
  </si>
  <si>
    <t xml:space="preserve">app/(dev)/card-gallery/page.tsx, components/MarketSelector.tsx, components/OwnershipSelector.tsx, components/PillarSelector.tsx, components/group/SocialHandleFields.tsx, components/group/SocialLinksFields.tsx, components/onboarding/OnboardingFlow.tsx, components/sell/GatheringComposer.tsx, components/sell/ProductComposer.tsx, components/sell/SellWalkthrough.tsx, components/sell/ServiceComposer.tsx</t>
  </si>
  <si>
    <t xml:space="preserve">gap-1.5</t>
  </si>
  <si>
    <t xml:space="preserve">components/BottomNav.tsx, components/FollowButton.tsx, components/MarketPill.tsx, components/RecruitmentGrid.tsx, components/browse/WithheldAnnouncementCard.tsx, components/composer/MultiStepComposer.tsx, components/explore/ExploreSearchBar.tsx, components/explore/ListMapToggle.tsx, components/item/GatheringPublicPage.tsx, components/item/ProductPublicPage.tsx, components/item/ServicePublicPage.tsx, components/item/ShareLinkButton.tsx</t>
  </si>
  <si>
    <t xml:space="preserve">space-y-4</t>
  </si>
  <si>
    <t xml:space="preserve">app/you/page.tsx, components/MarketSelector.tsx, components/ReportForm.tsx, components/admin/MarketForm.tsx, components/auth/EmailFirstSignup.tsx, components/feed/LocalityFeed.tsx, components/onboarding/OnboardingFlow.tsx, components/sell/GatheringComposer.tsx, components/sell/ProductComposer.tsx, components/sell/ServiceComposer.tsx</t>
  </si>
  <si>
    <t xml:space="preserve">mt-8</t>
  </si>
  <si>
    <t xml:space="preserve">app/(dev)/card-gallery/page.tsx, app/join/page.tsx, app/p/[...slug]/page.tsx, app/you/page.tsx, components/group/PagePosts.tsx, components/group/ShopPublicPage.tsx, components/group/WithheldPagePosts.tsx, components/member/MemberPublicPage.tsx, components/venue/VenuePublicPage.tsx</t>
  </si>
  <si>
    <t xml:space="preserve">mt-0.5</t>
  </si>
  <si>
    <t xml:space="preserve">app/you/following/page.tsx, app/you/page.tsx, components/EventCard.tsx, components/MarketSelector.tsx, components/RecruitmentGrid.tsx, components/feed/ItemFeedCard.tsx, components/group/PageDetailCard.tsx, components/group/SocialHandleFields.tsx, components/group/SocialLinksFields.tsx, components/group/WithheldPagePosts.tsx</t>
  </si>
  <si>
    <t xml:space="preserve">pb-24</t>
  </si>
  <si>
    <t xml:space="preserve">app/following/page.tsx, app/join/page.tsx, app/you/following/page.tsx, app/you/page.tsx, app/you/sell/page.tsx, components/HomeFeed.tsx, components/browse/BrowseSurface.tsx</t>
  </si>
  <si>
    <t xml:space="preserve">px-5</t>
  </si>
  <si>
    <t xml:space="preserve">components/SearchBar.tsx, components/composer/AddEntityDrawer.tsx, components/composer/MultiStepComposer.tsx, components/explore/ListMapToggle.tsx, components/group/FollowPageButton.tsx</t>
  </si>
  <si>
    <t xml:space="preserve">gap-1</t>
  </si>
  <si>
    <t xml:space="preserve">app/admin/reports/ReportEntry.tsx, components/EventCard.tsx, components/FollowButton.tsx, components/RecruitmentGrid.tsx, components/explore/ExploreSearchBar.tsx, components/member/FollowMemberButton.tsx, components/place-breadcrumb.tsx, components/sell/SellWalkthrough.tsx, components/venue/FollowVenueButton.tsx</t>
  </si>
  <si>
    <t xml:space="preserve">gap-4</t>
  </si>
  <si>
    <t xml:space="preserve">app/admin/reports/page.tsx, app/g/[handle]/edit/EditPageForm.tsx, app/join/page.tsx, components/AuthCtaButtons.tsx, components/BottomNav.tsx, components/cards/CardGrid.tsx, components/feed/MakeThisYoursBanner.tsx, components/group/PageDetailCard.tsx, components/item/GatheringPublicPage.tsx, components/metro/MetroWaitlistStep.tsx</t>
  </si>
  <si>
    <t xml:space="preserve">py-0.5</t>
  </si>
  <si>
    <t xml:space="preserve">app/(dev)/add-entity-demo/page.tsx, components/EventCard.tsx, components/RecruitmentGrid.tsx, components/cards/ExampleCard.tsx, components/item/ProductPublicPage.tsx, components/locations/LocationPlaceFields.tsx</t>
  </si>
  <si>
    <t xml:space="preserve">space-y-3</t>
  </si>
  <si>
    <t xml:space="preserve">app/following/page.tsx, app/you/sell/page.tsx, components/auth/EmailFirstSignup.tsx, components/auth/MagicLinkForm.tsx, components/locations/LocationPlaceFields.tsx, components/sell/GatheringComposer.tsx, components/sell/ProductComposer.tsx, components/sell/SellWalkthrough.tsx, components/sell/ServiceComposer.tsx</t>
  </si>
  <si>
    <t xml:space="preserve">py-6</t>
  </si>
  <si>
    <t xml:space="preserve">app/(dev)/card-gallery/page.tsx, app/p/[...slug]/page.tsx, components/group/ShopPublicPage.tsx, components/item/GatheringPublicPage.tsx, components/item/ProductPublicPage.tsx, components/item/ServicePublicPage.tsx, components/member/MemberPublicPage.tsx, components/venue/VenuePublicPage.tsx</t>
  </si>
  <si>
    <t xml:space="preserve">mb-3</t>
  </si>
  <si>
    <t xml:space="preserve">app/(dev)/card-gallery/page.tsx, app/you/page.tsx, components/RecruitmentGrid.tsx, components/auth/EmailFirstSignup.tsx, components/auth/MagicLinkForm.tsx, components/browse/BrowseSurface.tsx, components/browse/FollowingRow.tsx</t>
  </si>
  <si>
    <t xml:space="preserve">py-2.5</t>
  </si>
  <si>
    <t xml:space="preserve">app/admin/reports/ReportEntry.tsx, components/auth/EmailFirstSignup.tsx, components/auth/MagicLinkForm.tsx, components/explore/ExploreSearchBar.tsx, components/explore/ScopeSheet.tsx</t>
  </si>
  <si>
    <t xml:space="preserve">py-4</t>
  </si>
  <si>
    <t xml:space="preserve">app/admin/reports/page.tsx, app/g/[handle]/edit/page.tsx, components/browse/BrowseSurface.tsx, components/composer/AddEntityDrawer.tsx, components/composer/MultiStepComposer.tsx, components/explore/ExploreFilterSheet.tsx, components/group/ReportSheet.tsx</t>
  </si>
  <si>
    <t xml:space="preserve">py-1.5</t>
  </si>
  <si>
    <t xml:space="preserve">app/you/page.tsx, components/AuthCtaButtons.tsx, components/HomeFeed.tsx, components/MarketPill.tsx, components/RecruitmentGrid.tsx, components/browse/WithheldAnnouncementCard.tsx, components/explore/ExploreSearchBar.tsx, components/group/WithheldPagePosts.tsx</t>
  </si>
  <si>
    <t xml:space="preserve">mb-2</t>
  </si>
  <si>
    <t xml:space="preserve">app/you/page.tsx, components/MarketSelector.tsx, components/SearchBar.tsx, components/admin/MarketForm.tsx, components/auth/MagicLinkForm.tsx, components/explore/ExploreFilterSheet.tsx</t>
  </si>
  <si>
    <t xml:space="preserve">mb-6</t>
  </si>
  <si>
    <t xml:space="preserve">app/(dev)/add-entity-demo/page.tsx, app/(dev)/composer-demo/page.tsx, components/auth/EmailFirstSignup.tsx, components/auth/MagicLinkForm.tsx, components/group/ShopPublicPage.tsx</t>
  </si>
  <si>
    <t xml:space="preserve">py-12</t>
  </si>
  <si>
    <t xml:space="preserve">app/join/page.tsx, components/HomeFeed.tsx, components/browse/BrowseSurface.tsx, components/onboarding/OnboardingFlow.tsx</t>
  </si>
  <si>
    <t xml:space="preserve">mb-4</t>
  </si>
  <si>
    <t xml:space="preserve">app/(dev)/add-entity-demo/page.tsx, app/(dev)/composer-demo/page.tsx, app/auth/login/page.tsx, app/g/[handle]/edit/page.tsx, app/you/page.tsx, components/ReportForm.tsx</t>
  </si>
  <si>
    <t xml:space="preserve">p-0</t>
  </si>
  <si>
    <t xml:space="preserve">app/admin/reports/ReportEntry.tsx, app/admin/reports/page.tsx, components/cards/CardGrid.tsx, components/composer/AddEntityDrawer.tsx, components/composer/MultiStepComposer.tsx, components/group/AnnouncementFields.tsx</t>
  </si>
  <si>
    <t xml:space="preserve">py-10</t>
  </si>
  <si>
    <t xml:space="preserve">app/auth/login/page.tsx, app/auth/password/page.tsx, app/join/page.tsx, app/you/page.tsx, components/browse/BrowseSurface.tsx, components/follows/FollowingManager.tsx</t>
  </si>
  <si>
    <t xml:space="preserve">py-1</t>
  </si>
  <si>
    <t xml:space="preserve">components/FollowButton.tsx, components/browse/WithheldAnnouncementCard.tsx, components/group/LocallyOwnedClaim.tsx, components/group/PageOverflowMenu.tsx, components/group/ReportControl.tsx, components/sell/SellWalkthrough.tsx</t>
  </si>
  <si>
    <t xml:space="preserve">pb-2</t>
  </si>
  <si>
    <t xml:space="preserve">components/RecruitmentGrid.tsx, components/browse/FollowingRow.tsx, components/composer/AddEntityDrawer.tsx, components/composer/MultiStepComposer.tsx, components/explore/ExploreSearchBar.tsx, components/follows/FollowingSummary.tsx</t>
  </si>
  <si>
    <t xml:space="preserve">mt-10</t>
  </si>
  <si>
    <t xml:space="preserve">app/(dev)/card-gallery/page.tsx</t>
  </si>
  <si>
    <t xml:space="preserve">pt-4</t>
  </si>
  <si>
    <t xml:space="preserve">app/following/page.tsx, components/HomeFeed.tsx, components/browse/FollowingRow.tsx, components/composer/AddEntityDrawer.tsx, components/composer/MultiStepComposer.tsx</t>
  </si>
  <si>
    <t xml:space="preserve">mt-5</t>
  </si>
  <si>
    <t xml:space="preserve">components/AuthGateModal.tsx, components/composer/MultiStepComposer.tsx, components/explore/ScopeSheet.tsx, components/venue/VenuePublicPage.tsx</t>
  </si>
  <si>
    <t xml:space="preserve">space-y-1</t>
  </si>
  <si>
    <t xml:space="preserve">app/(dev)/composer-demo/page.tsx, components/admin/MarketForm.tsx, components/onboarding/OnboardingFlow.tsx</t>
  </si>
  <si>
    <t xml:space="preserve">p-1</t>
  </si>
  <si>
    <t xml:space="preserve">components/AuthGateModal.tsx, components/MarketSelector.tsx, components/composer/AddEntityDrawer.tsx, components/composer/MultiStepComposer.tsx</t>
  </si>
  <si>
    <t xml:space="preserve">pt-3</t>
  </si>
  <si>
    <t xml:space="preserve">components/AuthGateModal.tsx, components/browse/WithheldAnnouncementCard.tsx, components/cards/ExampleCard.tsx, components/cards/TileCard.tsx</t>
  </si>
  <si>
    <t xml:space="preserve">pb-3</t>
  </si>
  <si>
    <t xml:space="preserve">components/browse/WithheldAnnouncementCard.tsx, components/cards/ExampleCard.tsx, components/cards/TileCard.tsx, components/composer/MultiStepComposer.tsx</t>
  </si>
  <si>
    <t xml:space="preserve">mb-5</t>
  </si>
  <si>
    <t xml:space="preserve">app/auth/password/page.tsx, components/auth/MagicLinkForm.tsx, components/explore/ExploreFilterSheet.tsx</t>
  </si>
  <si>
    <t xml:space="preserve">p-5</t>
  </si>
  <si>
    <t xml:space="preserve">app/join/page.tsx, components/RecruitmentGrid.tsx, components/auth/SignInPrompt.tsx</t>
  </si>
  <si>
    <t xml:space="preserve">pt-2</t>
  </si>
  <si>
    <t xml:space="preserve">components/RecruitmentGrid.tsx, components/browse/WithheldAnnouncementCard.tsx, components/cards/TileCard.tsx</t>
  </si>
  <si>
    <t xml:space="preserve">ml-2</t>
  </si>
  <si>
    <t xml:space="preserve">components/SearchBar.tsx, components/item/ProductPublicPage.tsx, components/member/MemberPublicPage.tsx</t>
  </si>
  <si>
    <t xml:space="preserve">pb-8</t>
  </si>
  <si>
    <t xml:space="preserve">p-8</t>
  </si>
  <si>
    <t xml:space="preserve">app/(dev)/add-entity-demo/page.tsx, app/(dev)/composer-demo/page.tsx</t>
  </si>
  <si>
    <t xml:space="preserve">gap-6</t>
  </si>
  <si>
    <t xml:space="preserve">app/join/page.tsx, components/BottomNav.tsx</t>
  </si>
  <si>
    <t xml:space="preserve">space-y-5</t>
  </si>
  <si>
    <t xml:space="preserve">app/join/page.tsx, components/sell/ServiceComposer.tsx</t>
  </si>
  <si>
    <t xml:space="preserve">pt-6</t>
  </si>
  <si>
    <t xml:space="preserve">app/you/page.tsx, components/RecruitmentGrid.tsx</t>
  </si>
  <si>
    <t xml:space="preserve">gap-[3px]</t>
  </si>
  <si>
    <t xml:space="preserve">p-2</t>
  </si>
  <si>
    <t xml:space="preserve">components/HomeFeed.tsx, components/onboarding/OnboardingFlow.tsx</t>
  </si>
  <si>
    <t xml:space="preserve">pl-9</t>
  </si>
  <si>
    <t xml:space="preserve">components/MarketSelector.tsx, components/explore/ExploreSearchBar.tsx</t>
  </si>
  <si>
    <t xml:space="preserve">py-8</t>
  </si>
  <si>
    <t xml:space="preserve">space-y-8</t>
  </si>
  <si>
    <t xml:space="preserve">components/RecruitmentGrid.tsx, components/follows/FollowingManager.tsx</t>
  </si>
  <si>
    <t xml:space="preserve">pb-[calc(var(--nav-height)+env(safe-area-inset-bottom))]</t>
  </si>
  <si>
    <t xml:space="preserve">pb-1</t>
  </si>
  <si>
    <t xml:space="preserve">components/browse/WithheldAnnouncementCard.tsx, components/cards/TileCard.tsx</t>
  </si>
  <si>
    <t xml:space="preserve">-ml-2</t>
  </si>
  <si>
    <t xml:space="preserve">gap-5</t>
  </si>
  <si>
    <t xml:space="preserve">components/explore/MetroNotCoveredPanel.tsx, components/metro/MetroWaitlistStep.tsx</t>
  </si>
  <si>
    <t xml:space="preserve">mr-1.5</t>
  </si>
  <si>
    <t xml:space="preserve">pl-3</t>
  </si>
  <si>
    <t xml:space="preserve">app/admin/reports/ReportEntry.tsx</t>
  </si>
  <si>
    <t xml:space="preserve">gap-x-2</t>
  </si>
  <si>
    <t xml:space="preserve">pb-32</t>
  </si>
  <si>
    <t xml:space="preserve">pt-12</t>
  </si>
  <si>
    <t xml:space="preserve">pt-20</t>
  </si>
  <si>
    <t xml:space="preserve">pb-10</t>
  </si>
  <si>
    <t xml:space="preserve">py-16</t>
  </si>
  <si>
    <t xml:space="preserve">app/m/[handle]/page.tsx</t>
  </si>
  <si>
    <t xml:space="preserve">pr-8</t>
  </si>
  <si>
    <t xml:space="preserve">pb-40</t>
  </si>
  <si>
    <t xml:space="preserve">components/HomeFeed.tsx</t>
  </si>
  <si>
    <t xml:space="preserve">mt-12</t>
  </si>
  <si>
    <t xml:space="preserve">pr-3</t>
  </si>
  <si>
    <t xml:space="preserve">ml-5</t>
  </si>
  <si>
    <t xml:space="preserve">components/OwnershipSelector.tsx</t>
  </si>
  <si>
    <t xml:space="preserve">ml-7</t>
  </si>
  <si>
    <t xml:space="preserve">components/PillarSelector.tsx</t>
  </si>
  <si>
    <t xml:space="preserve">px-1.5</t>
  </si>
  <si>
    <t xml:space="preserve">-mb-2</t>
  </si>
  <si>
    <t xml:space="preserve">py-3.5</t>
  </si>
  <si>
    <t xml:space="preserve">mr-3</t>
  </si>
  <si>
    <t xml:space="preserve">pb-5</t>
  </si>
  <si>
    <t xml:space="preserve">space-y-0.5</t>
  </si>
  <si>
    <t xml:space="preserve">-mx-3</t>
  </si>
  <si>
    <t xml:space="preserve">-mx-6</t>
  </si>
  <si>
    <t xml:space="preserve">px-2.5</t>
  </si>
  <si>
    <t xml:space="preserve">m-0</t>
  </si>
  <si>
    <t xml:space="preserve">-mr-2</t>
  </si>
  <si>
    <t xml:space="preserve">mb-0</t>
  </si>
  <si>
    <t xml:space="preserve">pr-11</t>
  </si>
  <si>
    <t xml:space="preserve">my-6</t>
  </si>
  <si>
    <t xml:space="preserve">components/explore/ListMapToggle.tsx</t>
  </si>
  <si>
    <t xml:space="preserve">pb-4</t>
  </si>
  <si>
    <t xml:space="preserve">space-y-1.5</t>
  </si>
  <si>
    <t xml:space="preserve">components/item/GatheringPublicPage.tsx</t>
  </si>
  <si>
    <t xml:space="preserve">ml-1</t>
  </si>
  <si>
    <t xml:space="preserve">components/sell/SellWalkthrough.tsx</t>
  </si>
  <si>
    <t xml:space="preserve">token-color-arbitrary-var</t>
  </si>
  <si>
    <t xml:space="preserve">text-[var(--color-fg)]</t>
  </si>
  <si>
    <t xml:space="preserve">app/(dev)/add-entity-demo/page.tsx, app/(dev)/card-gallery/page.tsx, app/(dev)/composer-demo/page.tsx, app/admin/reports/ReportEntry.tsx, app/admin/reports/page.tsx, app/g/[handle]/edit/EditPageForm.tsx, app/g/[handle]/edit/page.tsx, app/you/page.tsx, components/SearchBar.tsx, components/auth/SignInPrompt.tsx, components/browse/BrowseMap.tsx, components/browse/BrowseResultCard.tsx …</t>
  </si>
  <si>
    <t xml:space="preserve">text-[var(--color-fg-muted)]</t>
  </si>
  <si>
    <t xml:space="preserve">app/(dev)/add-entity-demo/page.tsx, app/(dev)/card-gallery/page.tsx, app/(dev)/composer-demo/page.tsx, app/admin/reports/ReportEntry.tsx, app/admin/reports/page.tsx, app/g/[handle]/edit/EditPageForm.tsx, app/g/[handle]/edit/page.tsx, app/you/page.tsx, components/PostingSafetyNote.tsx, components/SearchBar.tsx, components/auth/SignInPrompt.tsx, components/browse/BrowseMap.tsx …</t>
  </si>
  <si>
    <t xml:space="preserve">text-[var(--color-accent)]</t>
  </si>
  <si>
    <t xml:space="preserve">app/following/page.tsx, app/g/[handle]/edit/EditPageForm.tsx, app/join/page.tsx, app/you/page.tsx, components/AuthGateModal.tsx, components/BottomNav.tsx, components/EventCard.tsx, components/HomeFeed.tsx, components/MarketPill.tsx, components/RecruitmentGrid.tsx, components/admin/MarketForm.tsx, components/auth/EmailFirstSignup.tsx …</t>
  </si>
  <si>
    <t xml:space="preserve">text-[var(--color-charcoal-900)]</t>
  </si>
  <si>
    <t xml:space="preserve">components/PersonMark.tsx, components/YouBadge.tsx, components/browse/BrowseMap.tsx, components/browse/BrowseSurface.tsx, components/browse/FollowingRow.tsx, components/explore/ExploreFilterSheet.tsx, components/explore/ExploreSearchBar.tsx, components/explore/ListMapToggle.tsx, components/group/FollowPageButton.tsx, components/group/HiddenPhotoNotice.tsx, components/group/PageOverflowMenu.tsx, components/group/PagePosts.tsx …</t>
  </si>
  <si>
    <t xml:space="preserve">bg-[var(--color-accent)]</t>
  </si>
  <si>
    <t xml:space="preserve">app/following/page.tsx, app/join/page.tsx, app/you/page.tsx, components/AuthCtaButtons.tsx, components/FollowButton.tsx, components/HomeFeed.tsx, components/RecruitmentGrid.tsx, components/auth/EmailFirstSignup.tsx, components/auth/MagicLinkForm.tsx, components/browse/WithheldAnnouncementCard.tsx, components/explore/ExploreSearchBar.tsx, components/follows/FollowingManager.tsx …</t>
  </si>
  <si>
    <t xml:space="preserve">border-[var(--color-charcoal-100)]</t>
  </si>
  <si>
    <t xml:space="preserve">components/explore/ExploreFilterSheet.tsx, components/explore/ExploreSearchBar.tsx, components/explore/ListMapToggle.tsx, components/explore/MetroNotCoveredPanel.tsx, components/group/HiddenPhotoNotice.tsx, components/group/PageOverflowMenu.tsx, components/group/ReportSheet.tsx, components/metro/MetroStandingDialog.tsx</t>
  </si>
  <si>
    <t xml:space="preserve">bg-[var(--color-surface)]</t>
  </si>
  <si>
    <t xml:space="preserve">app/admin/reports/ReportEntry.tsx, components/SearchBar.tsx, components/browse/WithheldAnnouncementCard.tsx, components/cards/TileCard.tsx, components/explore/MetroNotCoveredPanel.tsx, components/explore/ScopeSheet.tsx, components/feed/ItemFeedCard.tsx, components/group/OwnerBar.tsx, components/group/SocialHandleFields.tsx, components/group/WithheldPagePosts.tsx</t>
  </si>
  <si>
    <t xml:space="preserve">border-[var(--color-border)]</t>
  </si>
  <si>
    <t xml:space="preserve">app/admin/reports/ReportEntry.tsx, components/SearchBar.tsx, components/cards/ExampleBlock.tsx, components/composer/MultiStepComposer.tsx, components/feed/ItemFeedCard.tsx, components/group/SocialHandleFields.tsx, components/venue/VenuePublicPage.tsx</t>
  </si>
  <si>
    <t xml:space="preserve">bg-[var(--color-accent-hover)]</t>
  </si>
  <si>
    <t xml:space="preserve">app/join/page.tsx, components/AuthCtaButtons.tsx, components/RecruitmentGrid.tsx, components/auth/EmailFirstSignup.tsx, components/auth/MagicLinkForm.tsx, components/browse/WithheldAnnouncementCard.tsx, components/group/WithheldPagePosts.tsx</t>
  </si>
  <si>
    <t xml:space="preserve">bg-[var(--color-charcoal-700)]</t>
  </si>
  <si>
    <t xml:space="preserve">components/PersonMark.tsx, components/explore/ExploreFilterSheet.tsx, components/explore/ListMapToggle.tsx, components/group/ReportControl.tsx, components/group/ReportSheet.tsx, components/metro/MetroStandingDialog.tsx, components/metro/MetroWaitlistStep.tsx, components/sell/SellWalkthrough.tsx</t>
  </si>
  <si>
    <t xml:space="preserve">border-[var(--color-accent)]</t>
  </si>
  <si>
    <t xml:space="preserve">app/you/page.tsx, components/FollowButton.tsx, components/MarketSelector.tsx, components/sell/GatheringComposer.tsx, components/sell/ProductComposer.tsx, components/sell/SellWalkthrough.tsx, components/sell/ServiceComposer.tsx</t>
  </si>
  <si>
    <t xml:space="preserve">bg-[var(--color-accent-tint)]</t>
  </si>
  <si>
    <t xml:space="preserve">app/you/page.tsx, components/MarketSelector.tsx, components/item/ProductPublicPage.tsx, components/sell/GatheringComposer.tsx, components/sell/ProductComposer.tsx, components/sell/SellWalkthrough.tsx, components/sell/ServiceComposer.tsx</t>
  </si>
  <si>
    <t xml:space="preserve">border-[var(--color-control-border)]</t>
  </si>
  <si>
    <t xml:space="preserve">components/group/FollowPageButton.tsx, components/group/PagePosts.tsx, components/group/ReportSheet.tsx, components/metro/MetroWaitlistStep.tsx, components/sell/SellWalkthrough.tsx</t>
  </si>
  <si>
    <t xml:space="preserve">from-[var(--color-accent-tint)]</t>
  </si>
  <si>
    <t xml:space="preserve">ring-[var(--color-accent)]</t>
  </si>
  <si>
    <t xml:space="preserve">components/MarketSelector.tsx, components/explore/ExploreSearchBar.tsx, components/group/use-announcement-anchor.ts, components/media/PagePhotoPicker.tsx</t>
  </si>
  <si>
    <t xml:space="preserve">bg-[var(--color-fg)]</t>
  </si>
  <si>
    <t xml:space="preserve">app/admin/reports/ReportEntry.tsx, components/cards/ExampleCard.tsx, components/composer/MultiStepComposer.tsx</t>
  </si>
  <si>
    <t xml:space="preserve">text-[var(--color-nav-inactive)]</t>
  </si>
  <si>
    <t xml:space="preserve">ring-[var(--color-border)]</t>
  </si>
  <si>
    <t xml:space="preserve">components/cards/ExampleCard.tsx, components/explore/ExploreSearchBar.tsx</t>
  </si>
  <si>
    <t xml:space="preserve">outline-[var(--color-accent)]</t>
  </si>
  <si>
    <t xml:space="preserve">components/explore/ExploreFilterSheet.tsx, components/explore/ListMapToggle.tsx</t>
  </si>
  <si>
    <t xml:space="preserve">bg-[var(--color-bg)]</t>
  </si>
  <si>
    <t xml:space="preserve">border-[var(--color-nav-border)]</t>
  </si>
  <si>
    <t xml:space="preserve">text-[var(--color-charcoal)]</t>
  </si>
  <si>
    <t xml:space="preserve">bg-[var(--color-charcoal-100)]</t>
  </si>
  <si>
    <t xml:space="preserve">bg-[var(--color-control-border)]</t>
  </si>
  <si>
    <t xml:space="preserve">text-[var(--color-danger)]</t>
  </si>
  <si>
    <t xml:space="preserve">token-color-utility</t>
  </si>
  <si>
    <t xml:space="preserve">border-foreground</t>
  </si>
  <si>
    <t xml:space="preserve">bg-foreground</t>
  </si>
  <si>
    <t xml:space="preserve">text-background</t>
  </si>
  <si>
    <t xml:space="preserve">touch-target-44</t>
  </si>
  <si>
    <t xml:space="preserve">min-h-11</t>
  </si>
  <si>
    <t xml:space="preserve">components/YouBadge.tsx, components/browse/BrowseMap.tsx, components/browse/BrowseSurface.tsx, components/explore/ExploreFilterSheet.tsx, components/explore/ListMapToggle.tsx, components/group/FollowPageButton.tsx, components/group/PageOverflowMenu.tsx, components/metro/MetroWaitlistStep.tsx, components/sell/SellWalkthrough.tsx</t>
  </si>
  <si>
    <t xml:space="preserve">h-11</t>
  </si>
  <si>
    <t xml:space="preserve">app/admin/reports/ReportEntry.tsx, components/BottomNav.tsx, components/explore/ExploreSearchBar.tsx, components/group/PageOverflowMenu.tsx, components/group/ReportSheet.tsx</t>
  </si>
  <si>
    <t xml:space="preserve">w-11</t>
  </si>
  <si>
    <t xml:space="preserve">components/explore/ExploreSearchBar.tsx, components/group/AudienceSwitch.tsx, components/group/PageOverflowMenu.tsx, components/group/ReportSheet.tsx</t>
  </si>
  <si>
    <t xml:space="preserve">type-size</t>
  </si>
  <si>
    <t xml:space="preserve">text-sm</t>
  </si>
  <si>
    <t xml:space="preserve">app/(dev)/add-entity-demo/page.tsx, app/(dev)/card-gallery/page.tsx, app/(dev)/composer-demo/page.tsx, app/admin/reports/ReportEntry.tsx, app/admin/reports/page.tsx, app/auth/login/page.tsx, app/following/page.tsx, app/g/[handle]/edit/EditPageForm.tsx, app/g/[handle]/edit/page.tsx, app/join/page.tsx, app/m/[handle]/page.tsx, app/p/[...slug]/page.tsx …</t>
  </si>
  <si>
    <t xml:space="preserve">text-xs</t>
  </si>
  <si>
    <t xml:space="preserve">app/(dev)/composer-demo/page.tsx, app/admin/reports/ReportEntry.tsx, app/following/page.tsx, app/g/[handle]/edit/EditPageForm.tsx, app/join/page.tsx, app/you/page.tsx, app/you/sell/page.tsx, components/AuthGateModal.tsx, components/CategoryInput.tsx, components/EventCard.tsx, components/FollowButton.tsx, components/MarketSelector.tsx …</t>
  </si>
  <si>
    <t xml:space="preserve">text-2xl</t>
  </si>
  <si>
    <t xml:space="preserve">app/(dev)/add-entity-demo/page.tsx, app/(dev)/card-gallery/page.tsx, app/(dev)/composer-demo/page.tsx, app/auth/password/page.tsx, app/following/page.tsx, app/join/page.tsx, app/p/[...slug]/page.tsx, app/you/following/page.tsx, app/you/page.tsx, app/you/sell/page.tsx, components/HomeFeed.tsx, components/RecruitmentGrid.tsx …</t>
  </si>
  <si>
    <t xml:space="preserve">text-lg</t>
  </si>
  <si>
    <t xml:space="preserve">app/admin/reports/page.tsx, app/g/[handle]/edit/page.tsx, app/join/page.tsx, app/m/[handle]/page.tsx, components/AuthGateModal.tsx, components/MarketSelector.tsx, components/RecruitmentGrid.tsx, components/ReportForm.tsx, components/auth/SignInPrompt.tsx, components/browse/BrowseResultCard.tsx, components/explore/MetroNotCoveredPanel.tsx, components/explore/ScopeSheet.tsx …</t>
  </si>
  <si>
    <t xml:space="preserve">text-base</t>
  </si>
  <si>
    <t xml:space="preserve">app/join/page.tsx, components/RecruitmentGrid.tsx, components/explore/ExploreFilterSheet.tsx, components/feed/LocalityFeed.tsx, components/group/ReportSheet.tsx, components/metro/MetroStandingDialog.tsx</t>
  </si>
  <si>
    <t xml:space="preserve">text-xl</t>
  </si>
  <si>
    <t xml:space="preserve">app/following/page.tsx, app/you/page.tsx, components/HomeFeed.tsx, components/ReportForm.tsx, components/item/ProductPublicPage.tsx, components/item/ServicePublicPage.tsx, components/onboarding/OnboardingFlow.tsx</t>
  </si>
  <si>
    <t xml:space="preserve">text-[11px]</t>
  </si>
  <si>
    <t xml:space="preserve">components/EventCard.tsx, components/RecruitmentGrid.tsx, components/cards/ExampleCard.tsx, components/feed/ItemFeedCard.tsx</t>
  </si>
  <si>
    <t xml:space="preserve">text-[17px]</t>
  </si>
  <si>
    <t xml:space="preserve">app/(dev)/card-gallery/page.tsx, app/you/page.tsx</t>
  </si>
  <si>
    <t xml:space="preserve">text-[15px]</t>
  </si>
  <si>
    <t xml:space="preserve">components/browse/WithheldAnnouncementCard.tsx, components/cards/ExampleCard.tsx, components/cards/TileCard.tsx, components/feed/ItemFeedCard.tsx</t>
  </si>
  <si>
    <t xml:space="preserve">text-[22px]</t>
  </si>
  <si>
    <t xml:space="preserve">components/composer/AddEntityDrawer.tsx, components/composer/MultiStepComposer.tsx, components/venue/VenuePublicPage.tsx</t>
  </si>
  <si>
    <t xml:space="preserve">text-[9px]</t>
  </si>
  <si>
    <t xml:space="preserve">text-[10px]</t>
  </si>
  <si>
    <t xml:space="preserve">text-3xl</t>
  </si>
  <si>
    <t xml:space="preserve">components/RecruitmentGrid.tsx, components/metro/MetroStandingDialog.tsx</t>
  </si>
  <si>
    <t xml:space="preserve">text-4xl</t>
  </si>
  <si>
    <t xml:space="preserve">text-5xl</t>
  </si>
  <si>
    <t xml:space="preserve">text-6xl</t>
  </si>
  <si>
    <t xml:space="preserve">text-[13px]</t>
  </si>
  <si>
    <t xml:space="preserve">text-[26px]</t>
  </si>
  <si>
    <t xml:space="preserve">z-index</t>
  </si>
  <si>
    <t xml:space="preserve">z-10..z-[60]</t>
  </si>
  <si>
    <t xml:space="preserve">z-10:5 z-20:2 z-30:3 z-40:7 z-50:12 z-[60]:1 (AddEntityDrawer)</t>
  </si>
  <si>
    <t xml:space="preserve">sm: (640)</t>
  </si>
  <si>
    <t xml:space="preserve">md: (768)</t>
  </si>
  <si>
    <t xml:space="preserve">lg: (1024)</t>
  </si>
  <si>
    <t xml:space="preserve">xl: (1280)</t>
  </si>
  <si>
    <t xml:space="preserve">2xl: (1536)</t>
  </si>
  <si>
    <t xml:space="preserve">Any?</t>
  </si>
  <si>
    <t xml:space="preserve">app/(dev)/add-entity-demo/page.tsx</t>
  </si>
  <si>
    <t xml:space="preserve">app/(dev)/composer-demo/page.tsx</t>
  </si>
  <si>
    <t xml:space="preserve">app/(dev)/layout.tsx</t>
  </si>
  <si>
    <t xml:space="preserve">app/admin/reports/page.tsx</t>
  </si>
  <si>
    <t xml:space="preserve">app/auth/layout.tsx</t>
  </si>
  <si>
    <t xml:space="preserve">app/auth/login/page.tsx</t>
  </si>
  <si>
    <t xml:space="preserve">app/auth/password/page.tsx</t>
  </si>
  <si>
    <t xml:space="preserve">app/auth/signup/page.tsx</t>
  </si>
  <si>
    <t xml:space="preserve">app/explore/page.tsx</t>
  </si>
  <si>
    <t xml:space="preserve">app/following/page.tsx</t>
  </si>
  <si>
    <t xml:space="preserve">app/g/[handle]/edit/EditPageForm.tsx</t>
  </si>
  <si>
    <t xml:space="preserve">app/g/[handle]/edit/page.tsx</t>
  </si>
  <si>
    <t xml:space="preserve">app/g/[handle]/page.tsx</t>
  </si>
  <si>
    <t xml:space="preserve">app/layout.tsx</t>
  </si>
  <si>
    <t xml:space="preserve">app/m/[handle]/e/[slug]/page.tsx</t>
  </si>
  <si>
    <t xml:space="preserve">app/m/[handle]/p/[slug]/page.tsx</t>
  </si>
  <si>
    <t xml:space="preserve">app/m/[handle]/s/[slug]/page.tsx</t>
  </si>
  <si>
    <t xml:space="preserve">app/manage/[...slug]/page.tsx</t>
  </si>
  <si>
    <t xml:space="preserve">app/onboarding/page.tsx</t>
  </si>
  <si>
    <t xml:space="preserve">app/page.tsx</t>
  </si>
  <si>
    <t xml:space="preserve">app/you/following/page.tsx</t>
  </si>
  <si>
    <t xml:space="preserve">app/you/page.tsx</t>
  </si>
  <si>
    <t xml:space="preserve">app/you/sell/page.tsx</t>
  </si>
  <si>
    <t xml:space="preserve">components/MarketContext.tsx</t>
  </si>
  <si>
    <t xml:space="preserve">components/NavVisibilityProvider.tsx</t>
  </si>
  <si>
    <t xml:space="preserve">components/NavYouBadge.tsx</t>
  </si>
  <si>
    <t xml:space="preserve">components/admin/MarketForm.tsx</t>
  </si>
  <si>
    <t xml:space="preserve">components/auth/EmailFirstSignup.tsx</t>
  </si>
  <si>
    <t xml:space="preserve">components/auth/MagicLinkForm.tsx</t>
  </si>
  <si>
    <t xml:space="preserve">components/cards/ExampleBlock.tsx</t>
  </si>
  <si>
    <t xml:space="preserve">components/explore/MetroNotCoveredPanel.tsx</t>
  </si>
  <si>
    <t xml:space="preserve">components/feed/LocalityFeed.tsx</t>
  </si>
  <si>
    <t xml:space="preserve">components/follows/FollowingSummary.tsx</t>
  </si>
  <si>
    <t xml:space="preserve">components/group/PagePosts.tsx</t>
  </si>
  <si>
    <t xml:space="preserve">components/group/ReportControl.tsx</t>
  </si>
  <si>
    <t xml:space="preserve">components/group/SocialHandleFields.tsx</t>
  </si>
  <si>
    <t xml:space="preserve">components/group/SocialLinksFields.tsx</t>
  </si>
  <si>
    <t xml:space="preserve">components/group/WithheldPagePosts.tsx</t>
  </si>
  <si>
    <t xml:space="preserve">components/item/ProductPublicPage.tsx</t>
  </si>
  <si>
    <t xml:space="preserve">components/item/ServicePublicPage.tsx</t>
  </si>
  <si>
    <t xml:space="preserve">components/member/OwnPages.tsx</t>
  </si>
  <si>
    <t xml:space="preserve">components/metro/MetroWaitlistStep.tsx</t>
  </si>
  <si>
    <t xml:space="preserve">components/onboarding/OnboardingFlow.tsx</t>
  </si>
  <si>
    <t xml:space="preserve">components/sell/AddGatheringButton.tsx</t>
  </si>
  <si>
    <t xml:space="preserve">components/sell/AddProductButton.tsx</t>
  </si>
  <si>
    <t xml:space="preserve">components/sell/AddServiceButton.tsx</t>
  </si>
  <si>
    <t xml:space="preserve">components/sell/GatheringComposer.tsx</t>
  </si>
  <si>
    <t xml:space="preserve">components/sell/ProductComposer.tsx</t>
  </si>
  <si>
    <t xml:space="preserve">components/sell/SellCta.tsx</t>
  </si>
  <si>
    <t xml:space="preserve">components/sell/ServiceComposer.tsx</t>
  </si>
  <si>
    <t xml:space="preserve">File:line</t>
  </si>
  <si>
    <t xml:space="preserve">Found</t>
  </si>
  <si>
    <t xml:space="preserve">Should be</t>
  </si>
  <si>
    <t xml:space="preserve">app/(dev)/add-entity-demo/page.tsx:62</t>
  </si>
  <si>
    <t xml:space="preserve">colour-raw-palette</t>
  </si>
  <si>
    <t xml:space="preserve">bg-surface</t>
  </si>
  <si>
    <t xml:space="preserve">Dev demos</t>
  </si>
  <si>
    <t xml:space="preserve">app/(dev)/card-gallery/page.tsx:31</t>
  </si>
  <si>
    <t xml:space="preserve">arbitrary-type</t>
  </si>
  <si>
    <t xml:space="preserve">text-xs/sm/base/lg/xl or add --text-2xs (10-11px) and a card-title size (17px)</t>
  </si>
  <si>
    <t xml:space="preserve">app/(dev)/card-gallery/page.tsx:43</t>
  </si>
  <si>
    <t xml:space="preserve">app/(dev)/card-gallery/page.tsx:53</t>
  </si>
  <si>
    <t xml:space="preserve">app/(dev)/card-gallery/page.tsx:60</t>
  </si>
  <si>
    <t xml:space="preserve">app/(dev)/card-gallery/page.tsx:71</t>
  </si>
  <si>
    <t xml:space="preserve">app/(dev)/card-gallery/page.tsx:73</t>
  </si>
  <si>
    <t xml:space="preserve">colour-hex</t>
  </si>
  <si>
    <t xml:space="preserve">&lt;StatusDot color="#1b7a3d" label="Locally owned and operated" /&gt;</t>
  </si>
  <si>
    <t xml:space="preserve">--color-ownership-* token</t>
  </si>
  <si>
    <t xml:space="preserve">app/(dev)/card-gallery/page.tsx:74</t>
  </si>
  <si>
    <t xml:space="preserve">&lt;StatusDot color="#0e6b2e" label="Worker or member owned" /&gt;</t>
  </si>
  <si>
    <t xml:space="preserve">app/(dev)/card-gallery/page.tsx:75</t>
  </si>
  <si>
    <t xml:space="preserve">&lt;StatusDot color="#b0b0b0" label="Competing against market consolidation" /&gt;</t>
  </si>
  <si>
    <t xml:space="preserve">app/(dev)/card-gallery/page.tsx:78</t>
  </si>
  <si>
    <t xml:space="preserve">app/(dev)/composer-demo/page.tsx:117</t>
  </si>
  <si>
    <t xml:space="preserve">app/admin/reports/ReportEntry.tsx:126</t>
  </si>
  <si>
    <t xml:space="preserve">colour-raw-white-black</t>
  </si>
  <si>
    <t xml:space="preserve">text-bg (or on-accent token)</t>
  </si>
  <si>
    <t xml:space="preserve">Admin</t>
  </si>
  <si>
    <t xml:space="preserve">app/admin/reports/ReportEntry.tsx:276</t>
  </si>
  <si>
    <t xml:space="preserve">bg-bg</t>
  </si>
  <si>
    <t xml:space="preserve">app/auth/login/page.tsx:16</t>
  </si>
  <si>
    <t xml:space="preserve">text-danger (define --color-danger)</t>
  </si>
  <si>
    <t xml:space="preserve">Auth</t>
  </si>
  <si>
    <t xml:space="preserve">app/following/page.tsx:90</t>
  </si>
  <si>
    <t xml:space="preserve">text-fg-muted</t>
  </si>
  <si>
    <t xml:space="preserve">Following (legacy)</t>
  </si>
  <si>
    <t xml:space="preserve">app/following/page.tsx:93</t>
  </si>
  <si>
    <t xml:space="preserve">app/following/page.tsx:107</t>
  </si>
  <si>
    <t xml:space="preserve">app/following/page.tsx:110</t>
  </si>
  <si>
    <t xml:space="preserve">app/following/page.tsx:128</t>
  </si>
  <si>
    <t xml:space="preserve">border-border</t>
  </si>
  <si>
    <t xml:space="preserve">app/following/page.tsx:131</t>
  </si>
  <si>
    <t xml:space="preserve">needs warning/highlight token (or accent-tint)</t>
  </si>
  <si>
    <t xml:space="preserve">app/following/page.tsx:141</t>
  </si>
  <si>
    <t xml:space="preserve">text-fg</t>
  </si>
  <si>
    <t xml:space="preserve">app/following/page.tsx:144</t>
  </si>
  <si>
    <t xml:space="preserve">app/following/page.tsx:151</t>
  </si>
  <si>
    <t xml:space="preserve">app/join/page.tsx:50</t>
  </si>
  <si>
    <t xml:space="preserve">Join (marketing)</t>
  </si>
  <si>
    <t xml:space="preserve">app/join/page.tsx:53</t>
  </si>
  <si>
    <t xml:space="preserve">tracking-[0.2em]</t>
  </si>
  <si>
    <t xml:space="preserve">app/join/page.tsx:54</t>
  </si>
  <si>
    <t xml:space="preserve">app/join/page.tsx:57</t>
  </si>
  <si>
    <t xml:space="preserve">app/join/page.tsx:65</t>
  </si>
  <si>
    <t xml:space="preserve">app/join/page.tsx:72</t>
  </si>
  <si>
    <t xml:space="preserve">border-control-border (controls) / border-border</t>
  </si>
  <si>
    <t xml:space="preserve">app/join/page.tsx:81</t>
  </si>
  <si>
    <t xml:space="preserve">app/join/page.tsx:100</t>
  </si>
  <si>
    <t xml:space="preserve">app/join/page.tsx:123</t>
  </si>
  <si>
    <t xml:space="preserve">app/join/page.tsx:131</t>
  </si>
  <si>
    <t xml:space="preserve">app/join/page.tsx:133</t>
  </si>
  <si>
    <t xml:space="preserve">app/join/page.tsx:134</t>
  </si>
  <si>
    <t xml:space="preserve">app/join/page.tsx:147</t>
  </si>
  <si>
    <t xml:space="preserve">app/join/page.tsx:160</t>
  </si>
  <si>
    <t xml:space="preserve">app/join/page.tsx:161</t>
  </si>
  <si>
    <t xml:space="preserve">app/join/page.tsx:162</t>
  </si>
  <si>
    <t xml:space="preserve">app/join/page.tsx:170</t>
  </si>
  <si>
    <t xml:space="preserve">app/join/page.tsx:174</t>
  </si>
  <si>
    <t xml:space="preserve">app/join/page.tsx:175</t>
  </si>
  <si>
    <t xml:space="preserve">app/m/[handle]/page.tsx:65</t>
  </si>
  <si>
    <t xml:space="preserve">app/m/[handle]/page.tsx:66</t>
  </si>
  <si>
    <t xml:space="preserve">app/p/[...slug]/page.tsx:326</t>
  </si>
  <si>
    <t xml:space="preserve">Place/venue (/p)</t>
  </si>
  <si>
    <t xml:space="preserve">app/p/[...slug]/page.tsx:332</t>
  </si>
  <si>
    <t xml:space="preserve">border-control-border</t>
  </si>
  <si>
    <t xml:space="preserve">app/you/following/page.tsx:33</t>
  </si>
  <si>
    <t xml:space="preserve">You &gt; Following</t>
  </si>
  <si>
    <t xml:space="preserve">app/you/page.tsx:98</t>
  </si>
  <si>
    <t xml:space="preserve">You</t>
  </si>
  <si>
    <t xml:space="preserve">app/you/page.tsx:102</t>
  </si>
  <si>
    <t xml:space="preserve">app/you/page.tsx:103</t>
  </si>
  <si>
    <t xml:space="preserve">app/you/page.tsx:126</t>
  </si>
  <si>
    <t xml:space="preserve">app/you/page.tsx:138</t>
  </si>
  <si>
    <t xml:space="preserve">app/you/page.tsx:143</t>
  </si>
  <si>
    <t xml:space="preserve">app/you/page.tsx:145</t>
  </si>
  <si>
    <t xml:space="preserve">app/you/page.tsx:147</t>
  </si>
  <si>
    <t xml:space="preserve">app/you/page.tsx:148</t>
  </si>
  <si>
    <t xml:space="preserve">app/you/page.tsx:151</t>
  </si>
  <si>
    <t xml:space="preserve">app/you/page.tsx:182</t>
  </si>
  <si>
    <t xml:space="preserve">app/you/page.tsx:183</t>
  </si>
  <si>
    <t xml:space="preserve">bg-charcoal-100</t>
  </si>
  <si>
    <t xml:space="preserve">app/you/page.tsx:211</t>
  </si>
  <si>
    <t xml:space="preserve">app/you/page.tsx:239</t>
  </si>
  <si>
    <t xml:space="preserve">app/you/page.tsx:243</t>
  </si>
  <si>
    <t xml:space="preserve">app/you/page.tsx:251</t>
  </si>
  <si>
    <t xml:space="preserve">app/you/page.tsx:252</t>
  </si>
  <si>
    <t xml:space="preserve">app/you/page.tsx:257</t>
  </si>
  <si>
    <t xml:space="preserve">app/you/page.tsx:266</t>
  </si>
  <si>
    <t xml:space="preserve">app/you/page.tsx:267</t>
  </si>
  <si>
    <t xml:space="preserve">app/you/page.tsx:270</t>
  </si>
  <si>
    <t xml:space="preserve">app/you/sell/page.tsx:122</t>
  </si>
  <si>
    <t xml:space="preserve">You &gt; Sell</t>
  </si>
  <si>
    <t xml:space="preserve">app/you/sell/page.tsx:132</t>
  </si>
  <si>
    <t xml:space="preserve">app/you/sell/page.tsx:136</t>
  </si>
  <si>
    <t xml:space="preserve">app/you/sell/page.tsx:159</t>
  </si>
  <si>
    <t xml:space="preserve">components/AuthCtaButtons.tsx:85</t>
  </si>
  <si>
    <t xml:space="preserve">Home (orphan)</t>
  </si>
  <si>
    <t xml:space="preserve">components/AuthCtaButtons.tsx:97</t>
  </si>
  <si>
    <t xml:space="preserve">components/AuthCtaButtons.tsx:109</t>
  </si>
  <si>
    <t xml:space="preserve">components/AuthCtaButtons.tsx:116</t>
  </si>
  <si>
    <t xml:space="preserve">components/AuthGateModal.tsx:24</t>
  </si>
  <si>
    <t xml:space="preserve">scrim token (e.g. --color-scrim)</t>
  </si>
  <si>
    <t xml:space="preserve">components/AuthGateModal.tsx:30</t>
  </si>
  <si>
    <t xml:space="preserve">components/AuthGateModal.tsx:37</t>
  </si>
  <si>
    <t xml:space="preserve">components/AuthGateModal.tsx:42</t>
  </si>
  <si>
    <t xml:space="preserve">components/AuthGateModal.tsx:51</t>
  </si>
  <si>
    <t xml:space="preserve">components/AuthGateModal.tsx:55</t>
  </si>
  <si>
    <t xml:space="preserve">components/BottomNav.tsx:78</t>
  </si>
  <si>
    <t xml:space="preserve">Global nav</t>
  </si>
  <si>
    <t xml:space="preserve">components/BottomNav.tsx:95</t>
  </si>
  <si>
    <t xml:space="preserve">arbitrary-spacing</t>
  </si>
  <si>
    <t xml:space="preserve">gap-0.5 / gap-1</t>
  </si>
  <si>
    <t xml:space="preserve">components/BottomNav.tsx:112</t>
  </si>
  <si>
    <t xml:space="preserve">components/BottomNav.tsx:147</t>
  </si>
  <si>
    <t xml:space="preserve">components/BottomNav.tsx:157</t>
  </si>
  <si>
    <t xml:space="preserve">components/CategoryInput.tsx:67</t>
  </si>
  <si>
    <t xml:space="preserve">bg-charcoal-900 (or drop dark:)</t>
  </si>
  <si>
    <t xml:space="preserve">shared/orphan</t>
  </si>
  <si>
    <t xml:space="preserve">components/CategoryInput.tsx:76</t>
  </si>
  <si>
    <t xml:space="preserve">bg-charcoal-900</t>
  </si>
  <si>
    <t xml:space="preserve">components/CategoryInput.tsx:83</t>
  </si>
  <si>
    <t xml:space="preserve">components/EventCard.tsx:81</t>
  </si>
  <si>
    <t xml:space="preserve">components/EventCard.tsx:83</t>
  </si>
  <si>
    <t xml:space="preserve">components/EventCard.tsx:89</t>
  </si>
  <si>
    <t xml:space="preserve">components/EventCard.tsx:90</t>
  </si>
  <si>
    <t xml:space="preserve">components/EventCard.tsx:92</t>
  </si>
  <si>
    <t xml:space="preserve">components/FollowButton.tsx:86</t>
  </si>
  <si>
    <t xml:space="preserve">components/FollowButton.tsx:87</t>
  </si>
  <si>
    <t xml:space="preserve">components/HomeFeed.tsx:103</t>
  </si>
  <si>
    <t xml:space="preserve">components/HomeFeed.tsx:108</t>
  </si>
  <si>
    <t xml:space="preserve">components/HomeFeed.tsx:123</t>
  </si>
  <si>
    <t xml:space="preserve">components/HomeFeed.tsx:131</t>
  </si>
  <si>
    <t xml:space="preserve">components/HomeFeed.tsx:134</t>
  </si>
  <si>
    <t xml:space="preserve">components/HomeFeed.tsx:152</t>
  </si>
  <si>
    <t xml:space="preserve">components/HomeFeed.tsx:153</t>
  </si>
  <si>
    <t xml:space="preserve">components/HomeFeed.tsx:169</t>
  </si>
  <si>
    <t xml:space="preserve">components/HomeFeed.tsx:173</t>
  </si>
  <si>
    <t xml:space="preserve">components/HomeFeed.tsx:174</t>
  </si>
  <si>
    <t xml:space="preserve">components/HomeFeed.tsx:179</t>
  </si>
  <si>
    <t xml:space="preserve">components/Map.tsx:16</t>
  </si>
  <si>
    <t xml:space="preserve">const PAGE_PIN_HEX = '#374151'</t>
  </si>
  <si>
    <t xml:space="preserve">--color-charcoal-700 (pin)</t>
  </si>
  <si>
    <t xml:space="preserve">Map (orphan)</t>
  </si>
  <si>
    <t xml:space="preserve">components/Map.tsx:154</t>
  </si>
  <si>
    <t xml:space="preserve">el.style.backgroundColor = '#374151'</t>
  </si>
  <si>
    <t xml:space="preserve">components/Map.tsx:162</t>
  </si>
  <si>
    <t xml:space="preserve">colour-rgba/shadow</t>
  </si>
  <si>
    <t xml:space="preserve">el.style.boxShadow = '0 1px 3px rgba(0,0,0,0.3)'</t>
  </si>
  <si>
    <t xml:space="preserve">--shadow-* / --lift-shadow</t>
  </si>
  <si>
    <t xml:space="preserve">components/Map.tsx:194</t>
  </si>
  <si>
    <t xml:space="preserve">components/Map.tsx:297</t>
  </si>
  <si>
    <t xml:space="preserve">components/MapPreview.tsx:39</t>
  </si>
  <si>
    <t xml:space="preserve">(orphan)</t>
  </si>
  <si>
    <t xml:space="preserve">components/MarketPill.tsx:28</t>
  </si>
  <si>
    <t xml:space="preserve">components/MarketPill.tsx:33</t>
  </si>
  <si>
    <t xml:space="preserve">components/MarketSelector.tsx:87</t>
  </si>
  <si>
    <t xml:space="preserve">components/MarketSelector.tsx:92</t>
  </si>
  <si>
    <t xml:space="preserve">components/MarketSelector.tsx:93</t>
  </si>
  <si>
    <t xml:space="preserve">components/MarketSelector.tsx:96</t>
  </si>
  <si>
    <t xml:space="preserve">components/MarketSelector.tsx:104</t>
  </si>
  <si>
    <t xml:space="preserve">components/MarketSelector.tsx:113</t>
  </si>
  <si>
    <t xml:space="preserve">components/MarketSelector.tsx:118</t>
  </si>
  <si>
    <t xml:space="preserve">components/MarketSelector.tsx:121</t>
  </si>
  <si>
    <t xml:space="preserve">components/MarketSelector.tsx:130</t>
  </si>
  <si>
    <t xml:space="preserve">components/MarketSelector.tsx:132</t>
  </si>
  <si>
    <t xml:space="preserve">components/MarketSelector.tsx:138</t>
  </si>
  <si>
    <t xml:space="preserve">components/MarketSelector.tsx:146</t>
  </si>
  <si>
    <t xml:space="preserve">components/MarketSelector.tsx:153</t>
  </si>
  <si>
    <t xml:space="preserve">components/MarketSelector.tsx:159</t>
  </si>
  <si>
    <t xml:space="preserve">components/MarketSelector.tsx:164</t>
  </si>
  <si>
    <t xml:space="preserve">components/MarketSelector.tsx:168</t>
  </si>
  <si>
    <t xml:space="preserve">components/OwnershipSelector.tsx:38</t>
  </si>
  <si>
    <t xml:space="preserve">components/OwnershipSelector.tsx:39</t>
  </si>
  <si>
    <t xml:space="preserve">drop (dark: no token)</t>
  </si>
  <si>
    <t xml:space="preserve">components/OwnershipSelector.tsx:49</t>
  </si>
  <si>
    <t xml:space="preserve">components/OwnershipSelector.tsx:56</t>
  </si>
  <si>
    <t xml:space="preserve">components/PersonMark.tsx:24</t>
  </si>
  <si>
    <t xml:space="preserve">components/PersonMark.tsx:25</t>
  </si>
  <si>
    <t xml:space="preserve">components/PersonMark.tsx:26</t>
  </si>
  <si>
    <t xml:space="preserve">bg-charcoal-700</t>
  </si>
  <si>
    <t xml:space="preserve">components/PillarSelector.tsx:38</t>
  </si>
  <si>
    <t xml:space="preserve">components/PillarSelector.tsx:39</t>
  </si>
  <si>
    <t xml:space="preserve">components/PillarSelector.tsx:46</t>
  </si>
  <si>
    <t xml:space="preserve">components/PillarSelector.tsx:53</t>
  </si>
  <si>
    <t xml:space="preserve">components/RecruitmentGrid.tsx:78</t>
  </si>
  <si>
    <t xml:space="preserve">components/RecruitmentGrid.tsx:79</t>
  </si>
  <si>
    <t xml:space="preserve">components/RecruitmentGrid.tsx:83</t>
  </si>
  <si>
    <t xml:space="preserve">components/RecruitmentGrid.tsx:84</t>
  </si>
  <si>
    <t xml:space="preserve">components/RecruitmentGrid.tsx:87</t>
  </si>
  <si>
    <t xml:space="preserve">components/RecruitmentGrid.tsx:99</t>
  </si>
  <si>
    <t xml:space="preserve">components/RecruitmentGrid.tsx:100</t>
  </si>
  <si>
    <t xml:space="preserve">components/RecruitmentGrid.tsx:103</t>
  </si>
  <si>
    <t xml:space="preserve">components/RecruitmentGrid.tsx:107</t>
  </si>
  <si>
    <t xml:space="preserve">components/RecruitmentGrid.tsx:108</t>
  </si>
  <si>
    <t xml:space="preserve">components/RecruitmentGrid.tsx:111</t>
  </si>
  <si>
    <t xml:space="preserve">components/RecruitmentGrid.tsx:122</t>
  </si>
  <si>
    <t xml:space="preserve">components/RecruitmentGrid.tsx:123</t>
  </si>
  <si>
    <t xml:space="preserve">components/RecruitmentGrid.tsx:127</t>
  </si>
  <si>
    <t xml:space="preserve">components/RecruitmentGrid.tsx:131</t>
  </si>
  <si>
    <t xml:space="preserve">components/RecruitmentGrid.tsx:132</t>
  </si>
  <si>
    <t xml:space="preserve">components/RecruitmentGrid.tsx:135</t>
  </si>
  <si>
    <t xml:space="preserve">components/RecruitmentGrid.tsx:136</t>
  </si>
  <si>
    <t xml:space="preserve">components/RecruitmentGrid.tsx:140</t>
  </si>
  <si>
    <t xml:space="preserve">components/RecruitmentGrid.tsx:141</t>
  </si>
  <si>
    <t xml:space="preserve">components/RecruitmentGrid.tsx:142</t>
  </si>
  <si>
    <t xml:space="preserve">components/RecruitmentGrid.tsx:143</t>
  </si>
  <si>
    <t xml:space="preserve">components/RecruitmentGrid.tsx:148</t>
  </si>
  <si>
    <t xml:space="preserve">components/RecruitmentGrid.tsx:153</t>
  </si>
  <si>
    <t xml:space="preserve">components/RecruitmentGrid.tsx:165</t>
  </si>
  <si>
    <t xml:space="preserve">components/RecruitmentGrid.tsx:166</t>
  </si>
  <si>
    <t xml:space="preserve">components/RecruitmentGrid.tsx:176</t>
  </si>
  <si>
    <t xml:space="preserve">components/RecruitmentGrid.tsx:179</t>
  </si>
  <si>
    <t xml:space="preserve">components/RecruitmentGrid.tsx:184</t>
  </si>
  <si>
    <t xml:space="preserve">components/ReportForm.tsx:63</t>
  </si>
  <si>
    <t xml:space="preserve">components/ReportForm.tsx:65</t>
  </si>
  <si>
    <t xml:space="preserve">components/ReportForm.tsx:83</t>
  </si>
  <si>
    <t xml:space="preserve">components/ReportForm.tsx:86</t>
  </si>
  <si>
    <t xml:space="preserve">components/ReportForm.tsx:89</t>
  </si>
  <si>
    <t xml:space="preserve">components/ReportForm.tsx:107</t>
  </si>
  <si>
    <t xml:space="preserve">components/ReportForm.tsx:113</t>
  </si>
  <si>
    <t xml:space="preserve">components/SearchBar.tsx:104</t>
  </si>
  <si>
    <t xml:space="preserve">className="mb-2 bg-white rounded-2xl shadow-[0_6px_16px_rgba(0,0,0,0.12)] overflow-hidden border border-[var(--color-border)]"</t>
  </si>
  <si>
    <t xml:space="preserve">arbitrary-shadow</t>
  </si>
  <si>
    <t xml:space="preserve">shadow-md / shadow-lg, or add --shadow-sheet for upward sheets</t>
  </si>
  <si>
    <t xml:space="preserve">components/SearchBar.tsx:123</t>
  </si>
  <si>
    <t xml:space="preserve">&lt;div className="flex items-center bg-white rounded-full shadow-[0_6px_16px_rgba(0,0,0,0.12)] border border-[var(--color-border)] px-5 py-3.5"&gt;</t>
  </si>
  <si>
    <t xml:space="preserve">components/SupportButton.tsx:21</t>
  </si>
  <si>
    <t xml:space="preserve">components/SupportButton.tsx:22</t>
  </si>
  <si>
    <t xml:space="preserve">components/SupportButton.tsx:27</t>
  </si>
  <si>
    <t xml:space="preserve">components/Toast.tsx:24</t>
  </si>
  <si>
    <t xml:space="preserve">components/YouBadge.tsx:54</t>
  </si>
  <si>
    <t xml:space="preserve">components/YouBadge.tsx:82</t>
  </si>
  <si>
    <t xml:space="preserve">components/YouBadge.tsx:92</t>
  </si>
  <si>
    <t xml:space="preserve">components/admin/MarketForm.tsx:88</t>
  </si>
  <si>
    <t xml:space="preserve">Admin (orphan)</t>
  </si>
  <si>
    <t xml:space="preserve">components/admin/MarketForm.tsx:89</t>
  </si>
  <si>
    <t xml:space="preserve">components/admin/MarketForm.tsx:113</t>
  </si>
  <si>
    <t xml:space="preserve">components/admin/MarketForm.tsx:130</t>
  </si>
  <si>
    <t xml:space="preserve">components/admin/MarketForm.tsx:134</t>
  </si>
  <si>
    <t xml:space="preserve">components/admin/MarketForm.tsx:143</t>
  </si>
  <si>
    <t xml:space="preserve">components/auth/EmailFirstSignup.tsx:164</t>
  </si>
  <si>
    <t xml:space="preserve">components/auth/EmailFirstSignup.tsx:178</t>
  </si>
  <si>
    <t xml:space="preserve">components/auth/EmailFirstSignup.tsx:197</t>
  </si>
  <si>
    <t xml:space="preserve">components/auth/EmailFirstSignup.tsx:203</t>
  </si>
  <si>
    <t xml:space="preserve">components/auth/EmailFirstSignup.tsx:206</t>
  </si>
  <si>
    <t xml:space="preserve">components/auth/EmailFirstSignup.tsx:221</t>
  </si>
  <si>
    <t xml:space="preserve">components/auth/EmailFirstSignup.tsx:229</t>
  </si>
  <si>
    <t xml:space="preserve">components/auth/EmailFirstSignup.tsx:246</t>
  </si>
  <si>
    <t xml:space="preserve">components/auth/EmailFirstSignup.tsx:267</t>
  </si>
  <si>
    <t xml:space="preserve">components/auth/EmailFirstSignup.tsx:275</t>
  </si>
  <si>
    <t xml:space="preserve">components/auth/EmailFirstSignup.tsx:287</t>
  </si>
  <si>
    <t xml:space="preserve">components/auth/EmailFirstSignup.tsx:294</t>
  </si>
  <si>
    <t xml:space="preserve">components/auth/MagicLinkForm.tsx:43</t>
  </si>
  <si>
    <t xml:space="preserve">components/auth/MagicLinkForm.tsx:65</t>
  </si>
  <si>
    <t xml:space="preserve">components/auth/MagicLinkForm.tsx:82</t>
  </si>
  <si>
    <t xml:space="preserve">components/auth/MagicLinkForm.tsx:90</t>
  </si>
  <si>
    <t xml:space="preserve">components/auth/SignInPrompt.tsx:32</t>
  </si>
  <si>
    <t xml:space="preserve">components/auth/SignInPrompt.tsx:36</t>
  </si>
  <si>
    <t xml:space="preserve">className="relative w-full max-w-sm rounded-t-2xl bg-white p-5 pb-8 shadow-[0_-6px_16px_rgba(0,0,0,0.12)] sm:rounded-2xl sm:pb-5"</t>
  </si>
  <si>
    <t xml:space="preserve">components/browse/BrowseMap.tsx:57</t>
  </si>
  <si>
    <t xml:space="preserve">el.style.cssText = `width:18px;height:18px;border-radius:50%;background:${PIN_COLOR};border:2px solid white;box-shadow:0 1px 3px rgba(0,0,0,0.3);cursor:pointer`</t>
  </si>
  <si>
    <t xml:space="preserve">Explore</t>
  </si>
  <si>
    <t xml:space="preserve">components/browse/BrowseMap.tsx:77</t>
  </si>
  <si>
    <t xml:space="preserve">components/browse/BrowseSurface.tsx:211</t>
  </si>
  <si>
    <t xml:space="preserve">components/browse/BrowseSurface.tsx:217</t>
  </si>
  <si>
    <t xml:space="preserve">components/browse/BrowseSurface.tsx:221</t>
  </si>
  <si>
    <t xml:space="preserve">components/browse/WithheldAnnouncementCard.tsx:43</t>
  </si>
  <si>
    <t xml:space="preserve">components/browse/WithheldAnnouncementCard.tsx:52</t>
  </si>
  <si>
    <t xml:space="preserve">components/browse/WithheldAnnouncementCard.tsx:86</t>
  </si>
  <si>
    <t xml:space="preserve">components/cards/AnnouncementCard.tsx:36</t>
  </si>
  <si>
    <t xml:space="preserve">Card system</t>
  </si>
  <si>
    <t xml:space="preserve">components/cards/AnnouncementCard.tsx:37</t>
  </si>
  <si>
    <t xml:space="preserve">components/cards/ExampleBlock.tsx:55</t>
  </si>
  <si>
    <t xml:space="preserve">components/cards/ExampleCard.tsx:44</t>
  </si>
  <si>
    <t xml:space="preserve">components/cards/ExampleCard.tsx:64</t>
  </si>
  <si>
    <t xml:space="preserve">components/cards/ExampleCard.tsx:72</t>
  </si>
  <si>
    <t xml:space="preserve">components/cards/MetricTile.tsx:34</t>
  </si>
  <si>
    <t xml:space="preserve">components/cards/MetricTile.tsx:38</t>
  </si>
  <si>
    <t xml:space="preserve">components/cards/MetricTile.tsx:40</t>
  </si>
  <si>
    <t xml:space="preserve">components/cards/MetricTile.tsx:42</t>
  </si>
  <si>
    <t xml:space="preserve">components/cards/TileCard.tsx:79</t>
  </si>
  <si>
    <t xml:space="preserve">components/composer/AddEntityDrawer.tsx:145</t>
  </si>
  <si>
    <t xml:space="preserve">Composers (sell/post)</t>
  </si>
  <si>
    <t xml:space="preserve">components/composer/AddEntityDrawer.tsx:154</t>
  </si>
  <si>
    <t xml:space="preserve">components/composer/AddEntityDrawer.tsx:161</t>
  </si>
  <si>
    <t xml:space="preserve">components/composer/AddEntityDrawer.tsx:169</t>
  </si>
  <si>
    <t xml:space="preserve">components/composer/AddEntityDrawer.tsx:188</t>
  </si>
  <si>
    <t xml:space="preserve">components/composer/AddEntityDrawer.tsx:203</t>
  </si>
  <si>
    <t xml:space="preserve">components/composer/AddEntityDrawer.tsx:210</t>
  </si>
  <si>
    <t xml:space="preserve">components/composer/MultiStepComposer.tsx:187</t>
  </si>
  <si>
    <t xml:space="preserve">components/composer/MultiStepComposer.tsx:196</t>
  </si>
  <si>
    <t xml:space="preserve">components/composer/MultiStepComposer.tsx:206</t>
  </si>
  <si>
    <t xml:space="preserve">components/composer/MultiStepComposer.tsx:216</t>
  </si>
  <si>
    <t xml:space="preserve">components/composer/MultiStepComposer.tsx:234</t>
  </si>
  <si>
    <t xml:space="preserve">components/composer/MultiStepComposer.tsx:247</t>
  </si>
  <si>
    <t xml:space="preserve">components/composer/MultiStepComposer.tsx:254</t>
  </si>
  <si>
    <t xml:space="preserve">components/explore/ExploreFilterSheet.tsx:118</t>
  </si>
  <si>
    <t xml:space="preserve">components/explore/ExploreFilterSheet.tsx:127</t>
  </si>
  <si>
    <t xml:space="preserve">className="fixed inset-x-0 bottom-0 z-50 flex max-h-[70vh] flex-col rounded-t-2xl border-t border-[var(--color-charcoal-100)] bg-white shadow-[0_-8px_24px_rgba(</t>
  </si>
  <si>
    <t xml:space="preserve">components/explore/ExploreFilterSheet.tsx:134</t>
  </si>
  <si>
    <t xml:space="preserve">components/explore/ExploreFilterSheet.tsx:153</t>
  </si>
  <si>
    <t xml:space="preserve">components/explore/ExploreFilterSheet.tsx:203</t>
  </si>
  <si>
    <t xml:space="preserve">components/explore/ExploreFilterSheet.tsx:239</t>
  </si>
  <si>
    <t xml:space="preserve">components/explore/ExploreFilterSheet.tsx:240</t>
  </si>
  <si>
    <t xml:space="preserve">components/explore/ExploreSearchBar.tsx:62</t>
  </si>
  <si>
    <t xml:space="preserve">components/explore/ExploreSearchBar.tsx:80</t>
  </si>
  <si>
    <t xml:space="preserve">components/explore/ExploreSearchBar.tsx:81</t>
  </si>
  <si>
    <t xml:space="preserve">components/explore/ExploreSearchBar.tsx:95</t>
  </si>
  <si>
    <t xml:space="preserve">components/explore/ExploreSearchBar.tsx:105</t>
  </si>
  <si>
    <t xml:space="preserve">ring-bg</t>
  </si>
  <si>
    <t xml:space="preserve">components/explore/ExploreSearchBar.tsx:125</t>
  </si>
  <si>
    <t xml:space="preserve">components/explore/ExploreSearchBar.tsx:138</t>
  </si>
  <si>
    <t xml:space="preserve">components/explore/ExploreSearchBar.tsx:144</t>
  </si>
  <si>
    <t xml:space="preserve">components/explore/ListMapToggle.tsx:83</t>
  </si>
  <si>
    <t xml:space="preserve">components/explore/ListMapToggle.tsx:84</t>
  </si>
  <si>
    <t xml:space="preserve">components/explore/ScopeSheet.tsx:98</t>
  </si>
  <si>
    <t xml:space="preserve">components/explore/ScopeSheet.tsx:101</t>
  </si>
  <si>
    <t xml:space="preserve">className="relative w-full max-w-md rounded-t-2xl bg-white p-4 pb-8 shadow-[0_-6px_16px_rgba(0,0,0,0.12)] sm:rounded-2xl sm:pb-4 max-h-[75vh] overflow-y-auto"</t>
  </si>
  <si>
    <t xml:space="preserve">components/explore/ScopeSheet.tsx:120</t>
  </si>
  <si>
    <t xml:space="preserve">components/explore/ScopeSheet.tsx:131</t>
  </si>
  <si>
    <t xml:space="preserve">components/feed/FeedEmptyState.tsx:12</t>
  </si>
  <si>
    <t xml:space="preserve">Home/LocalityFeed (paused)</t>
  </si>
  <si>
    <t xml:space="preserve">components/feed/FeedEmptyState.tsx:13</t>
  </si>
  <si>
    <t xml:space="preserve">components/feed/ItemFeedCard.tsx:82</t>
  </si>
  <si>
    <t xml:space="preserve">tracking-[0.08em]</t>
  </si>
  <si>
    <t xml:space="preserve">components/feed/ItemFeedCard.tsx:87</t>
  </si>
  <si>
    <t xml:space="preserve">components/feed/ItemFeedCard.tsx:96</t>
  </si>
  <si>
    <t xml:space="preserve">components/feed/LocalityFeed.tsx:50</t>
  </si>
  <si>
    <t xml:space="preserve">components/feed/LocalityFeed.tsx:51</t>
  </si>
  <si>
    <t xml:space="preserve">components/feed/LocalityFeed.tsx:82</t>
  </si>
  <si>
    <t xml:space="preserve">components/feed/MakeThisYoursBanner.tsx:12</t>
  </si>
  <si>
    <t xml:space="preserve">components/feed/MakeThisYoursBanner.tsx:13</t>
  </si>
  <si>
    <t xml:space="preserve">components/feed/ScopePicker.tsx:21</t>
  </si>
  <si>
    <t xml:space="preserve">components/follows/FollowCard.tsx:35</t>
  </si>
  <si>
    <t xml:space="preserve">components/follows/FollowCard.tsx:40</t>
  </si>
  <si>
    <t xml:space="preserve">components/follows/FollowingManager.tsx:100</t>
  </si>
  <si>
    <t xml:space="preserve">components/follows/FollowingManager.tsx:108</t>
  </si>
  <si>
    <t xml:space="preserve">components/follows/FollowingManager.tsx:116</t>
  </si>
  <si>
    <t xml:space="preserve">components/follows/FollowingManager.tsx:118</t>
  </si>
  <si>
    <t xml:space="preserve">components/follows/FollowingManager.tsx:123</t>
  </si>
  <si>
    <t xml:space="preserve">components/follows/FollowingManager.tsx:128</t>
  </si>
  <si>
    <t xml:space="preserve">components/follows/FollowingManager.tsx:149</t>
  </si>
  <si>
    <t xml:space="preserve">components/follows/FollowingManager.tsx:170</t>
  </si>
  <si>
    <t xml:space="preserve">components/follows/FollowingManager.tsx:172</t>
  </si>
  <si>
    <t xml:space="preserve">components/follows/FollowingManager.tsx:175</t>
  </si>
  <si>
    <t xml:space="preserve">components/follows/FollowingManager.tsx:190</t>
  </si>
  <si>
    <t xml:space="preserve">components/follows/FollowingSummary.tsx:40</t>
  </si>
  <si>
    <t xml:space="preserve">components/group/AudienceSwitch.tsx:61</t>
  </si>
  <si>
    <t xml:space="preserve">Shop page (/g)</t>
  </si>
  <si>
    <t xml:space="preserve">components/group/FollowPageButton.tsx:74</t>
  </si>
  <si>
    <t xml:space="preserve">components/group/HiddenPhotoNotice.tsx:23</t>
  </si>
  <si>
    <t xml:space="preserve">components/group/HiddenPhotoNotice.tsx:26</t>
  </si>
  <si>
    <t xml:space="preserve">components/group/LocallyOwnedClaim.tsx:82</t>
  </si>
  <si>
    <t xml:space="preserve">components/group/LocallyOwnedClaim.tsx:84</t>
  </si>
  <si>
    <t xml:space="preserve">components/group/LocallyOwnedClaim.tsx:90</t>
  </si>
  <si>
    <t xml:space="preserve">components/group/LocallyOwnedClaim.tsx:102</t>
  </si>
  <si>
    <t xml:space="preserve">components/group/LocallyOwnedClaim.tsx:105</t>
  </si>
  <si>
    <t xml:space="preserve">components/group/LocallyOwnedClaim.tsx:134</t>
  </si>
  <si>
    <t xml:space="preserve">components/group/LocallyOwnedClaim.tsx:159</t>
  </si>
  <si>
    <t xml:space="preserve">components/group/LocallyOwnedClaim.tsx:174</t>
  </si>
  <si>
    <t xml:space="preserve">components/group/LocallyOwnedClaim.tsx:178</t>
  </si>
  <si>
    <t xml:space="preserve">components/group/PageDetailCard.tsx:34</t>
  </si>
  <si>
    <t xml:space="preserve">className="absolute bottom-0 left-0 right-0 bg-white rounded-t-2xl shadow-[0_-6px_16px_rgba(0,0,0,0.12)] p-6 pb-8 z-30 max-h-[70vh] overflow-y-auto"</t>
  </si>
  <si>
    <t xml:space="preserve">components/group/PageDetailCard.tsx:40</t>
  </si>
  <si>
    <t xml:space="preserve">components/group/PageDetailCard.tsx:57</t>
  </si>
  <si>
    <t xml:space="preserve">components/group/PageDetailCard.tsx:59</t>
  </si>
  <si>
    <t xml:space="preserve">components/group/PageDetailCard.tsx:62</t>
  </si>
  <si>
    <t xml:space="preserve">components/group/PageDetailCard.tsx:76</t>
  </si>
  <si>
    <t xml:space="preserve">components/group/PageOverflowMenu.tsx:88</t>
  </si>
  <si>
    <t xml:space="preserve">components/group/PageOverflowMenu.tsx:105</t>
  </si>
  <si>
    <t xml:space="preserve">className="absolute right-0 z-40 mt-1 min-w-56 overflow-hidden rounded-xl border border-[var(--color-charcoal-100)] bg-white py-1 shadow-[0_8px_24px_rgba(0,0,0,</t>
  </si>
  <si>
    <t xml:space="preserve">components/group/PageOverflowMenu.tsx:113</t>
  </si>
  <si>
    <t xml:space="preserve">components/group/PageOverflowMenu.tsx:129</t>
  </si>
  <si>
    <t xml:space="preserve">components/group/PagePosts.tsx:324</t>
  </si>
  <si>
    <t xml:space="preserve">components/group/PagePosts.tsx:409</t>
  </si>
  <si>
    <t xml:space="preserve">components/group/ReportControl.tsx:87</t>
  </si>
  <si>
    <t xml:space="preserve">components/group/ReportSheet.tsx:107</t>
  </si>
  <si>
    <t xml:space="preserve">components/group/ReportSheet.tsx:117</t>
  </si>
  <si>
    <t xml:space="preserve">components/group/ReportSheet.tsx:124</t>
  </si>
  <si>
    <t xml:space="preserve">components/group/ReportSheet.tsx:166</t>
  </si>
  <si>
    <t xml:space="preserve">components/group/ShopPublicPage.tsx:84</t>
  </si>
  <si>
    <t xml:space="preserve">components/group/ShopPublicPage.tsx:152</t>
  </si>
  <si>
    <t xml:space="preserve">components/group/ShopPublicPage.tsx:167</t>
  </si>
  <si>
    <t xml:space="preserve">components/group/ShopPublicPage.tsx:182</t>
  </si>
  <si>
    <t xml:space="preserve">components/group/ShopPublicPage.tsx:188</t>
  </si>
  <si>
    <t xml:space="preserve">components/group/ShopPublicPage.tsx:265</t>
  </si>
  <si>
    <t xml:space="preserve">components/group/ShopPublicPage.tsx:267</t>
  </si>
  <si>
    <t xml:space="preserve">components/group/SocialHandleFields.tsx:53</t>
  </si>
  <si>
    <t xml:space="preserve">undefined-var</t>
  </si>
  <si>
    <t xml:space="preserve">--color-danger :: problem ? 'border-[var(--color-danger,#b00)]' : 'border-[var(--color-border)]'</t>
  </si>
  <si>
    <t xml:space="preserve">define --color-danger in @theme; use text-danger/border-danger</t>
  </si>
  <si>
    <t xml:space="preserve">components/group/SocialHandleFields.tsx:72</t>
  </si>
  <si>
    <t xml:space="preserve">components/group/SocialHandleFields.tsx:79</t>
  </si>
  <si>
    <t xml:space="preserve">--color-danger :: &lt;span role="alert" className="text-xs text-[var(--color-danger,#b00)]"&gt;</t>
  </si>
  <si>
    <t xml:space="preserve">components/group/SocialLinksFields.tsx:58</t>
  </si>
  <si>
    <t xml:space="preserve">components/group/WithheldPagePosts.tsx:62</t>
  </si>
  <si>
    <t xml:space="preserve">components/item/GatheringPublicPage.tsx:95</t>
  </si>
  <si>
    <t xml:space="preserve">Item pages</t>
  </si>
  <si>
    <t xml:space="preserve">components/item/ProductPublicPage.tsx:92</t>
  </si>
  <si>
    <t xml:space="preserve">components/item/ServicePublicPage.tsx:76</t>
  </si>
  <si>
    <t xml:space="preserve">components/locations/LocationPlaceFields.tsx:192</t>
  </si>
  <si>
    <t xml:space="preserve">Forms (shared)</t>
  </si>
  <si>
    <t xml:space="preserve">components/locations/LocationPlaceFields.tsx:203</t>
  </si>
  <si>
    <t xml:space="preserve">components/locations/LocationPlaceFields.tsx:215</t>
  </si>
  <si>
    <t xml:space="preserve">components/locations/LocationPlaceFields.tsx:226</t>
  </si>
  <si>
    <t xml:space="preserve">--color-danger :: &lt;p id={`${idPrefix}-address-error`} role="alert" className="text-xs text-[var(--color-danger)]"&gt;</t>
  </si>
  <si>
    <t xml:space="preserve">components/locations/LocationPlaceFields.tsx:245</t>
  </si>
  <si>
    <t xml:space="preserve">components/media/PagePhotoPicker.tsx:108</t>
  </si>
  <si>
    <t xml:space="preserve">--color-danger :: &lt;p role="alert" className="mt-1 text-sm text-[var(--color-danger,#b00)]"&gt;</t>
  </si>
  <si>
    <t xml:space="preserve">components/member/FollowMemberButton.tsx:78</t>
  </si>
  <si>
    <t xml:space="preserve">components/member/MemberPublicPage.tsx:38</t>
  </si>
  <si>
    <t xml:space="preserve">components/member/MemberPublicPage.tsx:41</t>
  </si>
  <si>
    <t xml:space="preserve">components/member/MemberPublicPage.tsx:48</t>
  </si>
  <si>
    <t xml:space="preserve">components/member/MemberPublicPage.tsx:75</t>
  </si>
  <si>
    <t xml:space="preserve">components/member/MemberPublicPage.tsx:84</t>
  </si>
  <si>
    <t xml:space="preserve">components/member/MemberPublicPage.tsx:85</t>
  </si>
  <si>
    <t xml:space="preserve">components/member/MemberPublicPage.tsx:88</t>
  </si>
  <si>
    <t xml:space="preserve">components/metro/MetroStandingDialog.tsx:56</t>
  </si>
  <si>
    <t xml:space="preserve">Onboarding / Explore waitlist</t>
  </si>
  <si>
    <t xml:space="preserve">components/metro/MetroStandingDialog.tsx:65</t>
  </si>
  <si>
    <t xml:space="preserve">className="fixed inset-x-4 top-1/2 z-50 -translate-y-1/2 rounded-2xl border border-[var(--color-charcoal-100)] bg-white p-6 shadow-[0_8px_32px_rgba(0,0,0,0.16)]</t>
  </si>
  <si>
    <t xml:space="preserve">components/metro/MetroStandingDialog.tsx:76</t>
  </si>
  <si>
    <t xml:space="preserve">components/metro/MetroStandingDialog.tsx:80</t>
  </si>
  <si>
    <t xml:space="preserve">components/metro/MetroStandingDialog.tsx:87</t>
  </si>
  <si>
    <t xml:space="preserve">components/metro/MetroWaitlistStep.tsx:77</t>
  </si>
  <si>
    <t xml:space="preserve">components/metro/MetroWaitlistStep.tsx:96</t>
  </si>
  <si>
    <t xml:space="preserve">components/metro/MetroWaitlistStep.tsx:138</t>
  </si>
  <si>
    <t xml:space="preserve">components/metro/MetroWaitlistStep.tsx:175</t>
  </si>
  <si>
    <t xml:space="preserve">components/metro/MetroWaitlistStep.tsx:176</t>
  </si>
  <si>
    <t xml:space="preserve">components/onboarding/OnboardingFlow.tsx:129</t>
  </si>
  <si>
    <t xml:space="preserve">components/place-breadcrumb.tsx:36</t>
  </si>
  <si>
    <t xml:space="preserve">components/place-breadcrumb.tsx:45</t>
  </si>
  <si>
    <t xml:space="preserve">text-accent</t>
  </si>
  <si>
    <t xml:space="preserve">components/sell/AddGatheringButton.tsx:71</t>
  </si>
  <si>
    <t xml:space="preserve">components/sell/AddProductButton.tsx:76</t>
  </si>
  <si>
    <t xml:space="preserve">components/sell/AddServiceButton.tsx:76</t>
  </si>
  <si>
    <t xml:space="preserve">components/sell/GatheringComposer.tsx:163</t>
  </si>
  <si>
    <t xml:space="preserve">components/sell/GatheringComposer.tsx:231</t>
  </si>
  <si>
    <t xml:space="preserve">components/sell/ProductComposer.tsx:238</t>
  </si>
  <si>
    <t xml:space="preserve">components/sell/ProductComposer.tsx:368</t>
  </si>
  <si>
    <t xml:space="preserve">components/sell/ProductComposer.tsx:386</t>
  </si>
  <si>
    <t xml:space="preserve">components/sell/SellCta.tsx:158</t>
  </si>
  <si>
    <t xml:space="preserve">components/sell/SellCta.tsx:161</t>
  </si>
  <si>
    <t xml:space="preserve">components/sell/SellCta.tsx:164</t>
  </si>
  <si>
    <t xml:space="preserve">components/sell/SellCta.tsx:195</t>
  </si>
  <si>
    <t xml:space="preserve">components/sell/SellWalkthrough.tsx:198</t>
  </si>
  <si>
    <t xml:space="preserve">components/sell/SellWalkthrough.tsx:199</t>
  </si>
  <si>
    <t xml:space="preserve">components/sell/SellWalkthrough.tsx:552</t>
  </si>
  <si>
    <t xml:space="preserve">components/sell/SellWalkthrough.tsx:559</t>
  </si>
  <si>
    <t xml:space="preserve">components/sell/SellWalkthrough.tsx:658</t>
  </si>
  <si>
    <t xml:space="preserve">components/sell/SellWalkthrough.tsx:676</t>
  </si>
  <si>
    <t xml:space="preserve">components/sell/ServiceComposer.tsx:390</t>
  </si>
  <si>
    <t xml:space="preserve">components/sell/ServiceComposer.tsx:408</t>
  </si>
  <si>
    <t xml:space="preserve">components/venue/FollowVenueButton.tsx:80</t>
  </si>
  <si>
    <t xml:space="preserve">Venue (/p)</t>
  </si>
  <si>
    <t xml:space="preserve">components/venue/VenuePublicPage.tsx:79</t>
  </si>
  <si>
    <t xml:space="preserve">components/venue/VenuePublicPage.tsx:84</t>
  </si>
  <si>
    <t xml:space="preserve">components/venue/VenuePublicPage.tsx:115</t>
  </si>
  <si>
    <t xml:space="preserve">components/venue/VenuePublicPage.tsx:120</t>
  </si>
  <si>
    <t xml:space="preserve">components/venue/VenuePublicPage.tsx:134</t>
  </si>
  <si>
    <t xml:space="preserve">components/venue/VenuePublicPage.tsx:147</t>
  </si>
  <si>
    <t xml:space="preserve">components/venue/VenuePublicPage.tsx:150</t>
  </si>
  <si>
    <t xml:space="preserve">lib/categories.ts:19</t>
  </si>
  <si>
    <t xml:space="preserve">bread: { slug: 'bread', label: 'Bread &amp; Baked', emoji: '🍞', pinColor: '#b45309' },</t>
  </si>
  <si>
    <t xml:space="preserve">category pin tokens (none exist)</t>
  </si>
  <si>
    <t xml:space="preserve">Map pins (lib)</t>
  </si>
  <si>
    <t xml:space="preserve">lib/categories.ts:20</t>
  </si>
  <si>
    <t xml:space="preserve">produce: { slug: 'produce', label: 'Produce', emoji: '🥬', pinColor: '#15803d' },</t>
  </si>
  <si>
    <t xml:space="preserve">lib/categories.ts:21</t>
  </si>
  <si>
    <t xml:space="preserve">'honey-jams': { slug: 'honey-jams', label: 'Honey &amp; Jams', emoji: '🍯', pinColor: '#d97706' },</t>
  </si>
  <si>
    <t xml:space="preserve">lib/categories.ts:22</t>
  </si>
  <si>
    <t xml:space="preserve">'soap-body': { slug: 'soap-body', label: 'Soap &amp; Body', emoji: '🧼', pinColor: '#0369a1' },</t>
  </si>
  <si>
    <t xml:space="preserve">lib/categories.ts:23</t>
  </si>
  <si>
    <t xml:space="preserve">candles: { slug: 'candles', label: 'Candles', emoji: '🕯️', pinColor: '#a16207' },</t>
  </si>
  <si>
    <t xml:space="preserve">lib/categories.ts:24</t>
  </si>
  <si>
    <t xml:space="preserve">'plants-flowers': { slug: 'plants-flowers', label: 'Plants &amp; Flowers', emoji: '🌸', pinColor: '#be185d' },</t>
  </si>
  <si>
    <t xml:space="preserve">lib/categories.ts:25</t>
  </si>
  <si>
    <t xml:space="preserve">crafts: { slug: 'crafts', label: 'Crafts', emoji: '🎨', pinColor: '#7c3aed' },</t>
  </si>
  <si>
    <t xml:space="preserve">lib/categories.ts:26</t>
  </si>
  <si>
    <t xml:space="preserve">'meat-eggs': { slug: 'meat-eggs', label: 'Meat &amp; Eggs', emoji: '🥚', pinColor: '#b91c1c' },</t>
  </si>
  <si>
    <t xml:space="preserve">lib/categories.ts:41</t>
  </si>
  <si>
    <t xml:space="preserve">return CATEGORIES[slug as CategorySlug]?.pinColor ?? '#64748b'</t>
  </si>
  <si>
    <t xml:space="preserve">lib/map-config.ts:17</t>
  </si>
  <si>
    <t xml:space="preserve">coop: { hex: '#0E6B2E', name: 'deep-green' },</t>
  </si>
  <si>
    <t xml:space="preserve">lib/map-config.ts:18</t>
  </si>
  <si>
    <t xml:space="preserve">independent: { hex: '#1B7A3D', name: 'green' },</t>
  </si>
  <si>
    <t xml:space="preserve">lib/map-config.ts:19</t>
  </si>
  <si>
    <t xml:space="preserve">'mission-driven': { hex: '#5A8F66', name: 'sage' },</t>
  </si>
  <si>
    <t xml:space="preserve">lib/map-config.ts:20</t>
  </si>
  <si>
    <t xml:space="preserve">'local-franchise': { hex: '#97A89A', name: 'gray-green' },</t>
  </si>
  <si>
    <t xml:space="preserve">lib/map-config.ts:21</t>
  </si>
  <si>
    <t xml:space="preserve">challenger: { hex: '#B0B0B0', name: 'light-gray' },</t>
  </si>
  <si>
    <t xml:space="preserve">lib/map-config.ts:22</t>
  </si>
  <si>
    <t xml:space="preserve">'pe-corporate': { hex: '#2A2A2A', name: 'near-black' },</t>
  </si>
  <si>
    <t xml:space="preserve">token-verbose-syntax</t>
  </si>
  <si>
    <t xml:space="preserve">16x x-[var(--color-*)]</t>
  </si>
  <si>
    <t xml:space="preserve">token utilities (text-fg, text-fg-muted, bg-accent, border-border...) which @theme generates but are used 0x</t>
  </si>
  <si>
    <t xml:space="preserve">15x x-[var(--color-*)]</t>
  </si>
  <si>
    <t xml:space="preserve">12x x-[var(--color-*)]</t>
  </si>
  <si>
    <t xml:space="preserve">Page edit</t>
  </si>
  <si>
    <t xml:space="preserve">11x x-[var(--color-*)]</t>
  </si>
  <si>
    <t xml:space="preserve">10x x-[var(--color-*)]</t>
  </si>
  <si>
    <t xml:space="preserve">9x x-[var(--color-*)]</t>
  </si>
  <si>
    <t xml:space="preserve">8x x-[var(--color-*)]</t>
  </si>
  <si>
    <t xml:space="preserve">7x x-[var(--color-*)]</t>
  </si>
  <si>
    <t xml:space="preserve">6x x-[var(--color-*)]</t>
  </si>
  <si>
    <t xml:space="preserve">5x x-[var(--color-*)]</t>
  </si>
  <si>
    <t xml:space="preserve">4x x-[var(--color-*)]</t>
  </si>
  <si>
    <t xml:space="preserve">3x x-[var(--color-*)]</t>
  </si>
  <si>
    <t xml:space="preserve">2x x-[var(--color-*)]</t>
  </si>
  <si>
    <t xml:space="preserve">1x x-[var(--color-*)]</t>
  </si>
  <si>
    <t xml:space="preserve">components/group/use-announcement-anchor.ts</t>
  </si>
  <si>
    <t xml:space="preserve">token-misuse</t>
  </si>
  <si>
    <t xml:space="preserve">bg-[var(--color-charcoal-700)] full-width CTA</t>
  </si>
  <si>
    <t xml:space="preserve">.btn-primary (globals: charcoal never a CTA fill)</t>
  </si>
  <si>
    <t xml:space="preserve">bg-[var(--color-charcoal-700)] submit CTA</t>
  </si>
  <si>
    <t xml:space="preserve">bg-[var(--color-charcoal-700)] CTA</t>
  </si>
  <si>
    <t xml:space="preserve">bg-[var(--color-charcoal-700)] inline toast</t>
  </si>
  <si>
    <t xml:space="preserve">&lt;Toast/&gt;</t>
  </si>
  <si>
    <t xml:space="preserve">selected pill bg-charcoal-700</t>
  </si>
  <si>
    <t xml:space="preserve">.chip-selected (bg-fg)</t>
  </si>
  <si>
    <t xml:space="preserve">selected segment bg-charcoal-700</t>
  </si>
  <si>
    <t xml:space="preserve">.chip-selected</t>
  </si>
  <si>
    <t xml:space="preserve">selected tab bg-accent</t>
  </si>
  <si>
    <t xml:space="preserve">app/globals.css:.input</t>
  </si>
  <si>
    <t xml:space="preserve">.input border-color var(--color-border) (1.23:1)</t>
  </si>
  <si>
    <t xml:space="preserve">--color-control-border (T160 3:1)</t>
  </si>
  <si>
    <t xml:space="preserve">Global recipes</t>
  </si>
  <si>
    <t xml:space="preserve">app/globals.css:.input/.btn-primary/.btn-secondary/.chip/.chip-selected</t>
  </si>
  <si>
    <t xml:space="preserve">#fff literals</t>
  </si>
  <si>
    <t xml:space="preserve">var(--color-bg)</t>
  </si>
  <si>
    <t xml:space="preserve">app/globals.css:.card</t>
  </si>
  <si>
    <t xml:space="preserve">@apply bg-white</t>
  </si>
  <si>
    <t xml:space="preserve">app/globals.css:@theme radius</t>
  </si>
  <si>
    <t xml:space="preserve">radius-scale</t>
  </si>
  <si>
    <t xml:space="preserve">--radius-sm/md/lg override TW: rounded-lg=1rem &gt; rounded-xl=0.75rem</t>
  </si>
  <si>
    <t xml:space="preserve">define full scale or restrict to sm/md/lg/full</t>
  </si>
  <si>
    <t xml:space="preserve">app/globals.css:.input vs .btn-*/.card</t>
  </si>
  <si>
    <t xml:space="preserve">.input rounded-lg (1rem) vs buttons/cards rounded-xl (0.75rem)</t>
  </si>
  <si>
    <t xml:space="preserve">one control radius</t>
  </si>
  <si>
    <t xml:space="preserve">rounded-md button</t>
  </si>
  <si>
    <t xml:space="preserve">rounded-xl like .btn-primary</t>
  </si>
  <si>
    <t xml:space="preserve">components/HomeFeed.tsx:119</t>
  </si>
  <si>
    <t xml:space="preserve">layout-token</t>
  </si>
  <si>
    <t xml:space="preserve">calc(64px + env(safe-area-inset-bottom))</t>
  </si>
  <si>
    <t xml:space="preserve">var(--nav-height)</t>
  </si>
  <si>
    <t xml:space="preserve">components/BottomNav.tsx:83</t>
  </si>
  <si>
    <t xml:space="preserve">h-11 hardcoded</t>
  </si>
  <si>
    <t xml:space="preserve">h-(--nav-height)</t>
  </si>
  <si>
    <t xml:space="preserve">bottom-20</t>
  </si>
  <si>
    <t xml:space="preserve">calc(var(--nav-height)+...)</t>
  </si>
  <si>
    <t xml:space="preserve">bottom-20 inline toast</t>
  </si>
  <si>
    <t xml:space="preserve">TopNavDesktop border-neutral-200 / text-neutral-600 hover:text-neutral-900</t>
  </si>
  <si>
    <t xml:space="preserve">border-nav-border, text-nav-inactive, hover:text-fg</t>
  </si>
  <si>
    <t xml:space="preserve">app/admin/reports/page.tsx:36; app/g/[handle]/edit/page.tsx:47; app/m/[handle]/page.tsx:65</t>
  </si>
  <si>
    <t xml:space="preserve">type-scale</t>
  </si>
  <si>
    <t xml:space="preserve">h1 text-lg</t>
  </si>
  <si>
    <t xml:space="preserve">shared PageHeader h1 size</t>
  </si>
  <si>
    <t xml:space="preserve">app/you/page.tsx:97/125; app/following/page.tsx:89/104</t>
  </si>
  <si>
    <t xml:space="preserve">h1 text-xl vs text-2xl on same screen</t>
  </si>
  <si>
    <t xml:space="preserve">single h1 size</t>
  </si>
  <si>
    <t xml:space="preserve">h1 text-4xl md:text-5xl text-neutral-900</t>
  </si>
  <si>
    <t xml:space="preserve">text-fg; no display size token</t>
  </si>
  <si>
    <t xml:space="preserve">z-[60]</t>
  </si>
  <si>
    <t xml:space="preserve">z-50 scale</t>
  </si>
  <si>
    <t xml:space="preserve">components/AuthGateModal.tsx:37; components/composer/AddEntityDrawer.tsx:169; components/MarketSelector.tsx:125</t>
  </si>
  <si>
    <t xml:space="preserve">touch-target</t>
  </si>
  <si>
    <t xml:space="preserve">close button p-1 (~24px)</t>
  </si>
  <si>
    <t xml:space="preserve">h-11 w-11 icon button</t>
  </si>
  <si>
    <t xml:space="preserve">Widths checked (px)</t>
  </si>
  <si>
    <t xml:space="preserve">Result</t>
  </si>
  <si>
    <t xml:space="preserve">—</t>
  </si>
  <si>
    <t xml:space="preserve">200 → /explore</t>
  </si>
  <si>
    <t xml:space="preserve">Root redirects</t>
  </si>
  <si>
    <t xml:space="preserve">360/390/768/1024/1280/1440/1920</t>
  </si>
  <si>
    <t xml:space="preserve">200</t>
  </si>
  <si>
    <t xml:space="preserve">see Screens row; grid columns 1/3/4/5/5/7; toggle not sticky</t>
  </si>
  <si>
    <t xml:space="preserve">→ /auth/login?next=/you/following</t>
  </si>
  <si>
    <t xml:space="preserve">config redirect</t>
  </si>
  <si>
    <t xml:space="preserve">390/1440</t>
  </si>
  <si>
    <t xml:space="preserve">768px column</t>
  </si>
  <si>
    <t xml:space="preserve">384px column, nav shown</t>
  </si>
  <si>
    <t xml:space="preserve">→ /auth/login</t>
  </si>
  <si>
    <t xml:space="preserve">384px column</t>
  </si>
  <si>
    <t xml:space="preserve">→ /auth/login?next=/onboarding</t>
  </si>
  <si>
    <t xml:space="preserve">signed-out state, 448px, vendor copy</t>
  </si>
  <si>
    <t xml:space="preserve">→ login</t>
  </si>
  <si>
    <t xml:space="preserve">404</t>
  </si>
  <si>
    <t xml:space="preserve">/card-gallery, /composer-demo, /add-entity-demo</t>
  </si>
  <si>
    <t xml:space="preserve">dev gate</t>
  </si>
  <si>
    <t xml:space="preserve">/manage/x</t>
  </si>
  <si>
    <t xml:space="preserve">/p/us, /p/us/ca</t>
  </si>
  <si>
    <t xml:space="preserve">/g/the-good-loaf-tzsxja, /g/folsom-lake-floaters-…</t>
  </si>
  <si>
    <t xml:space="preserve">390/1440/1920</t>
  </si>
  <si>
    <t xml:space="preserve">768px column; products unlinked</t>
  </si>
  <si>
    <t xml:space="preserve">/g/nope-123, /m/nope, /does-not-exist</t>
  </si>
  <si>
    <t xml:space="preserve">1440</t>
  </si>
  <si>
    <t xml:space="preserve">All pages</t>
  </si>
  <si>
    <t xml:space="preserve">&lt;title&gt; is "SocialUs" on every page</t>
  </si>
  <si>
    <t xml:space="preserve">Not reachable signed out</t>
  </si>
  <si>
    <t xml:space="preserve">/m/* member and item pages: no signed-out link path found from Explore or Pages; signed-in, owner and operator states need a sign-in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</si>
</sst>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C3C3C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3C3C3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C3C3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 t="s">
        <v>4</v>
      </c>
    </row>
    <row r="6" customFormat="false" ht="15" hidden="false" customHeight="false" outlineLevel="0" collapsed="false">
      <c r="A6" s="2" t="s">
        <v>5</v>
      </c>
    </row>
    <row r="7" customFormat="false" ht="15" hidden="false" customHeight="false" outlineLevel="0" collapsed="false">
      <c r="A7" s="2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9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20"/>
    <col collapsed="false" customWidth="true" hidden="false" outlineLevel="0" max="9" min="9" style="0" width="34"/>
    <col collapsed="false" customWidth="true" hidden="false" outlineLevel="0" max="10" min="10" style="0" width="70"/>
    <col collapsed="false" customWidth="true" hidden="false" outlineLevel="0" max="11" min="11" style="0" width="30"/>
    <col collapsed="false" customWidth="true" hidden="false" outlineLevel="0" max="12" min="12" style="0" width="40"/>
    <col collapsed="false" customWidth="true" hidden="false" outlineLevel="0" max="13" min="13" style="0" width="14"/>
    <col collapsed="false" customWidth="true" hidden="false" outlineLevel="0" max="14" min="14" style="0" width="80"/>
    <col collapsed="false" customWidth="true" hidden="false" outlineLevel="0" max="15" min="15" style="0" width="34"/>
    <col collapsed="false" customWidth="true" hidden="false" outlineLevel="0" max="16" min="16" style="0" width="16"/>
    <col collapsed="false" customWidth="true" hidden="false" outlineLevel="0" max="17" min="17" style="0" width="50"/>
  </cols>
  <sheetData>
    <row r="1" customFormat="false" ht="26.85" hidden="false" customHeight="false" outlineLevel="0" collapsed="false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19</v>
      </c>
      <c r="N1" s="3" t="s">
        <v>20</v>
      </c>
      <c r="O1" s="3" t="s">
        <v>21</v>
      </c>
      <c r="P1" s="3" t="s">
        <v>22</v>
      </c>
      <c r="Q1" s="3" t="s">
        <v>23</v>
      </c>
    </row>
    <row r="2" customFormat="false" ht="35.05" hidden="false" customHeight="false" outlineLevel="0" collapsed="false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2"/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</row>
    <row r="3" customFormat="false" ht="35.05" hidden="false" customHeight="false" outlineLevel="0" collapsed="false">
      <c r="A3" s="2" t="s">
        <v>39</v>
      </c>
      <c r="B3" s="2" t="s">
        <v>40</v>
      </c>
      <c r="C3" s="2" t="s">
        <v>41</v>
      </c>
      <c r="D3" s="2" t="s">
        <v>27</v>
      </c>
      <c r="E3" s="2" t="s">
        <v>42</v>
      </c>
      <c r="F3" s="2"/>
      <c r="G3" s="2" t="s">
        <v>43</v>
      </c>
      <c r="H3" s="2" t="s">
        <v>30</v>
      </c>
      <c r="I3" s="2" t="s">
        <v>44</v>
      </c>
      <c r="J3" s="2" t="s">
        <v>45</v>
      </c>
      <c r="K3" s="2" t="s">
        <v>46</v>
      </c>
      <c r="L3" s="2" t="s">
        <v>47</v>
      </c>
      <c r="M3" s="2" t="s">
        <v>48</v>
      </c>
      <c r="N3" s="2" t="s">
        <v>49</v>
      </c>
      <c r="O3" s="2" t="s">
        <v>50</v>
      </c>
      <c r="P3" s="2" t="s">
        <v>51</v>
      </c>
      <c r="Q3" s="2"/>
    </row>
    <row r="4" customFormat="false" ht="23.85" hidden="false" customHeight="false" outlineLevel="0" collapsed="false">
      <c r="A4" s="2" t="s">
        <v>52</v>
      </c>
      <c r="B4" s="2" t="s">
        <v>53</v>
      </c>
      <c r="C4" s="2" t="s">
        <v>54</v>
      </c>
      <c r="D4" s="2" t="s">
        <v>27</v>
      </c>
      <c r="E4" s="2" t="s">
        <v>42</v>
      </c>
      <c r="F4" s="2"/>
      <c r="G4" s="2" t="s">
        <v>43</v>
      </c>
      <c r="H4" s="2" t="s">
        <v>30</v>
      </c>
      <c r="I4" s="2" t="s">
        <v>55</v>
      </c>
      <c r="J4" s="2" t="s">
        <v>56</v>
      </c>
      <c r="K4" s="2" t="s">
        <v>46</v>
      </c>
      <c r="L4" s="2" t="s">
        <v>57</v>
      </c>
      <c r="M4" s="2" t="s">
        <v>58</v>
      </c>
      <c r="N4" s="2" t="s">
        <v>59</v>
      </c>
      <c r="O4" s="2" t="s">
        <v>60</v>
      </c>
      <c r="P4" s="2" t="s">
        <v>51</v>
      </c>
      <c r="Q4" s="2"/>
    </row>
    <row r="5" customFormat="false" ht="23.85" hidden="false" customHeight="false" outlineLevel="0" collapsed="false">
      <c r="A5" s="2" t="s">
        <v>61</v>
      </c>
      <c r="B5" s="2" t="s">
        <v>53</v>
      </c>
      <c r="C5" s="2" t="s">
        <v>62</v>
      </c>
      <c r="D5" s="2" t="s">
        <v>27</v>
      </c>
      <c r="E5" s="2" t="s">
        <v>63</v>
      </c>
      <c r="F5" s="2" t="s">
        <v>53</v>
      </c>
      <c r="G5" s="2" t="s">
        <v>29</v>
      </c>
      <c r="H5" s="2" t="s">
        <v>30</v>
      </c>
      <c r="I5" s="2" t="s">
        <v>64</v>
      </c>
      <c r="J5" s="2" t="s">
        <v>65</v>
      </c>
      <c r="K5" s="2" t="s">
        <v>46</v>
      </c>
      <c r="L5" s="2" t="s">
        <v>33</v>
      </c>
      <c r="M5" s="2" t="s">
        <v>34</v>
      </c>
      <c r="N5" s="2" t="s">
        <v>66</v>
      </c>
      <c r="O5" s="2" t="s">
        <v>67</v>
      </c>
      <c r="P5" s="2" t="s">
        <v>51</v>
      </c>
      <c r="Q5" s="2"/>
    </row>
    <row r="6" customFormat="false" ht="23.85" hidden="false" customHeight="false" outlineLevel="0" collapsed="false">
      <c r="A6" s="2" t="s">
        <v>68</v>
      </c>
      <c r="B6" s="2" t="s">
        <v>53</v>
      </c>
      <c r="C6" s="2" t="s">
        <v>69</v>
      </c>
      <c r="D6" s="2" t="s">
        <v>27</v>
      </c>
      <c r="E6" s="2" t="s">
        <v>63</v>
      </c>
      <c r="F6" s="2" t="s">
        <v>53</v>
      </c>
      <c r="G6" s="2" t="s">
        <v>29</v>
      </c>
      <c r="H6" s="2" t="s">
        <v>30</v>
      </c>
      <c r="I6" s="2" t="s">
        <v>70</v>
      </c>
      <c r="J6" s="2" t="s">
        <v>71</v>
      </c>
      <c r="K6" s="2" t="s">
        <v>46</v>
      </c>
      <c r="L6" s="2" t="s">
        <v>33</v>
      </c>
      <c r="M6" s="2" t="s">
        <v>34</v>
      </c>
      <c r="N6" s="2" t="s">
        <v>72</v>
      </c>
      <c r="O6" s="2" t="s">
        <v>73</v>
      </c>
      <c r="P6" s="2" t="s">
        <v>51</v>
      </c>
      <c r="Q6" s="2"/>
    </row>
    <row r="7" customFormat="false" ht="35.05" hidden="false" customHeight="false" outlineLevel="0" collapsed="false">
      <c r="A7" s="2" t="s">
        <v>74</v>
      </c>
      <c r="B7" s="2" t="s">
        <v>75</v>
      </c>
      <c r="C7" s="2" t="s">
        <v>76</v>
      </c>
      <c r="D7" s="2" t="s">
        <v>27</v>
      </c>
      <c r="E7" s="2" t="s">
        <v>77</v>
      </c>
      <c r="F7" s="2" t="s">
        <v>40</v>
      </c>
      <c r="G7" s="2" t="s">
        <v>78</v>
      </c>
      <c r="H7" s="2" t="s">
        <v>30</v>
      </c>
      <c r="I7" s="2" t="s">
        <v>79</v>
      </c>
      <c r="J7" s="2" t="s">
        <v>80</v>
      </c>
      <c r="K7" s="2" t="s">
        <v>46</v>
      </c>
      <c r="L7" s="2" t="s">
        <v>81</v>
      </c>
      <c r="M7" s="2" t="s">
        <v>48</v>
      </c>
      <c r="N7" s="2" t="s">
        <v>82</v>
      </c>
      <c r="O7" s="2" t="s">
        <v>83</v>
      </c>
      <c r="P7" s="2" t="s">
        <v>51</v>
      </c>
      <c r="Q7" s="2"/>
    </row>
    <row r="8" customFormat="false" ht="46.25" hidden="false" customHeight="false" outlineLevel="0" collapsed="false">
      <c r="A8" s="2" t="s">
        <v>84</v>
      </c>
      <c r="B8" s="2" t="s">
        <v>85</v>
      </c>
      <c r="C8" s="2" t="s">
        <v>86</v>
      </c>
      <c r="D8" s="2" t="s">
        <v>27</v>
      </c>
      <c r="E8" s="2" t="s">
        <v>87</v>
      </c>
      <c r="F8" s="2"/>
      <c r="G8" s="2" t="s">
        <v>88</v>
      </c>
      <c r="H8" s="2" t="s">
        <v>30</v>
      </c>
      <c r="I8" s="2" t="s">
        <v>89</v>
      </c>
      <c r="J8" s="2" t="s">
        <v>90</v>
      </c>
      <c r="K8" s="2" t="s">
        <v>91</v>
      </c>
      <c r="L8" s="2" t="s">
        <v>91</v>
      </c>
      <c r="M8" s="2" t="s">
        <v>34</v>
      </c>
      <c r="N8" s="2" t="s">
        <v>92</v>
      </c>
      <c r="O8" s="2" t="s">
        <v>93</v>
      </c>
      <c r="P8" s="2" t="s">
        <v>37</v>
      </c>
      <c r="Q8" s="2" t="s">
        <v>94</v>
      </c>
    </row>
    <row r="9" customFormat="false" ht="202.95" hidden="false" customHeight="false" outlineLevel="0" collapsed="false">
      <c r="A9" s="2" t="s">
        <v>95</v>
      </c>
      <c r="B9" s="2" t="s">
        <v>96</v>
      </c>
      <c r="C9" s="2" t="s">
        <v>97</v>
      </c>
      <c r="D9" s="2" t="s">
        <v>27</v>
      </c>
      <c r="E9" s="2" t="s">
        <v>42</v>
      </c>
      <c r="F9" s="2"/>
      <c r="G9" s="2" t="s">
        <v>78</v>
      </c>
      <c r="H9" s="2" t="s">
        <v>98</v>
      </c>
      <c r="I9" s="2" t="s">
        <v>99</v>
      </c>
      <c r="J9" s="2" t="s">
        <v>100</v>
      </c>
      <c r="K9" s="2" t="s">
        <v>101</v>
      </c>
      <c r="L9" s="2" t="s">
        <v>102</v>
      </c>
      <c r="M9" s="2" t="s">
        <v>103</v>
      </c>
      <c r="N9" s="2" t="s">
        <v>104</v>
      </c>
      <c r="O9" s="2" t="s">
        <v>105</v>
      </c>
      <c r="P9" s="2" t="s">
        <v>37</v>
      </c>
      <c r="Q9" s="2" t="s">
        <v>106</v>
      </c>
    </row>
    <row r="10" customFormat="false" ht="68.65" hidden="false" customHeight="false" outlineLevel="0" collapsed="false">
      <c r="A10" s="2" t="s">
        <v>107</v>
      </c>
      <c r="B10" s="2" t="s">
        <v>96</v>
      </c>
      <c r="C10" s="2" t="s">
        <v>108</v>
      </c>
      <c r="D10" s="2" t="s">
        <v>27</v>
      </c>
      <c r="E10" s="2" t="s">
        <v>77</v>
      </c>
      <c r="F10" s="2" t="s">
        <v>96</v>
      </c>
      <c r="G10" s="2" t="s">
        <v>78</v>
      </c>
      <c r="H10" s="2" t="s">
        <v>109</v>
      </c>
      <c r="I10" s="2" t="s">
        <v>110</v>
      </c>
      <c r="J10" s="2" t="s">
        <v>111</v>
      </c>
      <c r="K10" s="2" t="s">
        <v>112</v>
      </c>
      <c r="L10" s="2" t="s">
        <v>113</v>
      </c>
      <c r="M10" s="2" t="s">
        <v>114</v>
      </c>
      <c r="N10" s="2" t="s">
        <v>115</v>
      </c>
      <c r="O10" s="2" t="s">
        <v>116</v>
      </c>
      <c r="P10" s="2" t="s">
        <v>51</v>
      </c>
      <c r="Q10" s="2"/>
    </row>
    <row r="11" customFormat="false" ht="46.25" hidden="false" customHeight="false" outlineLevel="0" collapsed="false">
      <c r="A11" s="2" t="s">
        <v>117</v>
      </c>
      <c r="B11" s="2" t="s">
        <v>96</v>
      </c>
      <c r="C11" s="2" t="s">
        <v>118</v>
      </c>
      <c r="D11" s="2" t="s">
        <v>27</v>
      </c>
      <c r="E11" s="2" t="s">
        <v>77</v>
      </c>
      <c r="F11" s="2" t="s">
        <v>96</v>
      </c>
      <c r="G11" s="2" t="s">
        <v>78</v>
      </c>
      <c r="H11" s="2" t="s">
        <v>30</v>
      </c>
      <c r="I11" s="2" t="s">
        <v>119</v>
      </c>
      <c r="J11" s="2" t="s">
        <v>120</v>
      </c>
      <c r="K11" s="2" t="s">
        <v>46</v>
      </c>
      <c r="L11" s="2" t="s">
        <v>121</v>
      </c>
      <c r="M11" s="2" t="s">
        <v>48</v>
      </c>
      <c r="N11" s="2" t="s">
        <v>122</v>
      </c>
      <c r="O11" s="2" t="s">
        <v>123</v>
      </c>
      <c r="P11" s="2" t="s">
        <v>51</v>
      </c>
      <c r="Q11" s="2"/>
    </row>
    <row r="12" customFormat="false" ht="35.05" hidden="false" customHeight="false" outlineLevel="0" collapsed="false">
      <c r="A12" s="2" t="s">
        <v>124</v>
      </c>
      <c r="B12" s="2" t="s">
        <v>96</v>
      </c>
      <c r="C12" s="2" t="s">
        <v>125</v>
      </c>
      <c r="D12" s="2" t="s">
        <v>27</v>
      </c>
      <c r="E12" s="2" t="s">
        <v>77</v>
      </c>
      <c r="F12" s="2" t="s">
        <v>96</v>
      </c>
      <c r="G12" s="2" t="s">
        <v>29</v>
      </c>
      <c r="H12" s="2" t="s">
        <v>30</v>
      </c>
      <c r="I12" s="2" t="s">
        <v>126</v>
      </c>
      <c r="J12" s="2" t="s">
        <v>127</v>
      </c>
      <c r="K12" s="2" t="s">
        <v>128</v>
      </c>
      <c r="L12" s="2" t="s">
        <v>129</v>
      </c>
      <c r="M12" s="2" t="s">
        <v>34</v>
      </c>
      <c r="N12" s="2" t="s">
        <v>130</v>
      </c>
      <c r="O12" s="2" t="s">
        <v>131</v>
      </c>
      <c r="P12" s="2" t="s">
        <v>51</v>
      </c>
      <c r="Q12" s="2"/>
    </row>
    <row r="13" customFormat="false" ht="79.85" hidden="false" customHeight="false" outlineLevel="0" collapsed="false">
      <c r="A13" s="2" t="s">
        <v>132</v>
      </c>
      <c r="B13" s="2" t="s">
        <v>96</v>
      </c>
      <c r="C13" s="2" t="s">
        <v>133</v>
      </c>
      <c r="D13" s="2" t="s">
        <v>27</v>
      </c>
      <c r="E13" s="2" t="s">
        <v>77</v>
      </c>
      <c r="F13" s="2" t="s">
        <v>96</v>
      </c>
      <c r="G13" s="2" t="s">
        <v>78</v>
      </c>
      <c r="H13" s="2" t="s">
        <v>30</v>
      </c>
      <c r="I13" s="2" t="s">
        <v>134</v>
      </c>
      <c r="J13" s="2" t="s">
        <v>135</v>
      </c>
      <c r="K13" s="2" t="s">
        <v>136</v>
      </c>
      <c r="L13" s="2" t="s">
        <v>137</v>
      </c>
      <c r="M13" s="2" t="s">
        <v>138</v>
      </c>
      <c r="N13" s="2" t="s">
        <v>139</v>
      </c>
      <c r="O13" s="2" t="s">
        <v>140</v>
      </c>
      <c r="P13" s="2" t="s">
        <v>51</v>
      </c>
      <c r="Q13" s="2"/>
    </row>
    <row r="14" customFormat="false" ht="57.45" hidden="false" customHeight="false" outlineLevel="0" collapsed="false">
      <c r="A14" s="2" t="s">
        <v>141</v>
      </c>
      <c r="B14" s="2" t="s">
        <v>96</v>
      </c>
      <c r="C14" s="2" t="s">
        <v>142</v>
      </c>
      <c r="D14" s="2" t="s">
        <v>27</v>
      </c>
      <c r="E14" s="2" t="s">
        <v>77</v>
      </c>
      <c r="F14" s="2" t="s">
        <v>96</v>
      </c>
      <c r="G14" s="2" t="s">
        <v>78</v>
      </c>
      <c r="H14" s="2" t="s">
        <v>30</v>
      </c>
      <c r="I14" s="2" t="s">
        <v>143</v>
      </c>
      <c r="J14" s="2" t="s">
        <v>144</v>
      </c>
      <c r="K14" s="2" t="s">
        <v>145</v>
      </c>
      <c r="L14" s="2" t="s">
        <v>146</v>
      </c>
      <c r="M14" s="2" t="s">
        <v>34</v>
      </c>
      <c r="N14" s="2" t="s">
        <v>147</v>
      </c>
      <c r="O14" s="2" t="s">
        <v>148</v>
      </c>
      <c r="P14" s="2" t="s">
        <v>51</v>
      </c>
      <c r="Q14" s="2"/>
    </row>
    <row r="15" customFormat="false" ht="79.85" hidden="false" customHeight="false" outlineLevel="0" collapsed="false">
      <c r="A15" s="2" t="s">
        <v>149</v>
      </c>
      <c r="B15" s="2" t="s">
        <v>96</v>
      </c>
      <c r="C15" s="2" t="s">
        <v>150</v>
      </c>
      <c r="D15" s="2" t="s">
        <v>27</v>
      </c>
      <c r="E15" s="2" t="s">
        <v>77</v>
      </c>
      <c r="F15" s="2" t="s">
        <v>96</v>
      </c>
      <c r="G15" s="2" t="s">
        <v>151</v>
      </c>
      <c r="H15" s="2" t="s">
        <v>98</v>
      </c>
      <c r="I15" s="2" t="s">
        <v>152</v>
      </c>
      <c r="J15" s="2" t="s">
        <v>153</v>
      </c>
      <c r="K15" s="2" t="s">
        <v>154</v>
      </c>
      <c r="L15" s="2" t="s">
        <v>155</v>
      </c>
      <c r="M15" s="2" t="s">
        <v>156</v>
      </c>
      <c r="N15" s="2" t="s">
        <v>157</v>
      </c>
      <c r="O15" s="2" t="s">
        <v>158</v>
      </c>
      <c r="P15" s="2" t="s">
        <v>37</v>
      </c>
      <c r="Q15" s="2" t="s">
        <v>106</v>
      </c>
    </row>
    <row r="16" customFormat="false" ht="35.05" hidden="false" customHeight="false" outlineLevel="0" collapsed="false">
      <c r="A16" s="2" t="s">
        <v>159</v>
      </c>
      <c r="B16" s="2" t="s">
        <v>96</v>
      </c>
      <c r="C16" s="2" t="s">
        <v>160</v>
      </c>
      <c r="D16" s="2" t="s">
        <v>27</v>
      </c>
      <c r="E16" s="2" t="s">
        <v>77</v>
      </c>
      <c r="F16" s="2" t="s">
        <v>96</v>
      </c>
      <c r="G16" s="2" t="s">
        <v>151</v>
      </c>
      <c r="H16" s="2" t="s">
        <v>161</v>
      </c>
      <c r="I16" s="2" t="s">
        <v>162</v>
      </c>
      <c r="J16" s="2" t="s">
        <v>163</v>
      </c>
      <c r="K16" s="2" t="s">
        <v>46</v>
      </c>
      <c r="L16" s="2" t="s">
        <v>164</v>
      </c>
      <c r="M16" s="2" t="s">
        <v>58</v>
      </c>
      <c r="N16" s="2" t="s">
        <v>165</v>
      </c>
      <c r="O16" s="2" t="s">
        <v>166</v>
      </c>
      <c r="P16" s="2" t="s">
        <v>51</v>
      </c>
      <c r="Q16" s="2"/>
    </row>
    <row r="17" customFormat="false" ht="57.45" hidden="false" customHeight="false" outlineLevel="0" collapsed="false">
      <c r="A17" s="2" t="s">
        <v>167</v>
      </c>
      <c r="B17" s="2" t="s">
        <v>96</v>
      </c>
      <c r="C17" s="2" t="s">
        <v>168</v>
      </c>
      <c r="D17" s="2" t="s">
        <v>27</v>
      </c>
      <c r="E17" s="2" t="s">
        <v>169</v>
      </c>
      <c r="F17" s="2" t="s">
        <v>96</v>
      </c>
      <c r="G17" s="2" t="s">
        <v>78</v>
      </c>
      <c r="H17" s="2" t="s">
        <v>30</v>
      </c>
      <c r="I17" s="2" t="s">
        <v>170</v>
      </c>
      <c r="J17" s="2" t="s">
        <v>171</v>
      </c>
      <c r="K17" s="2" t="s">
        <v>172</v>
      </c>
      <c r="L17" s="2" t="s">
        <v>173</v>
      </c>
      <c r="M17" s="2" t="s">
        <v>48</v>
      </c>
      <c r="N17" s="2" t="s">
        <v>174</v>
      </c>
      <c r="O17" s="2" t="s">
        <v>175</v>
      </c>
      <c r="P17" s="2" t="s">
        <v>51</v>
      </c>
      <c r="Q17" s="2"/>
    </row>
    <row r="18" customFormat="false" ht="68.65" hidden="false" customHeight="false" outlineLevel="0" collapsed="false">
      <c r="A18" s="2" t="s">
        <v>176</v>
      </c>
      <c r="B18" s="2" t="s">
        <v>96</v>
      </c>
      <c r="C18" s="2" t="s">
        <v>177</v>
      </c>
      <c r="D18" s="2" t="s">
        <v>27</v>
      </c>
      <c r="E18" s="2" t="s">
        <v>169</v>
      </c>
      <c r="F18" s="2" t="s">
        <v>96</v>
      </c>
      <c r="G18" s="2" t="s">
        <v>78</v>
      </c>
      <c r="H18" s="2" t="s">
        <v>30</v>
      </c>
      <c r="I18" s="2" t="s">
        <v>178</v>
      </c>
      <c r="J18" s="2" t="s">
        <v>179</v>
      </c>
      <c r="K18" s="2" t="s">
        <v>180</v>
      </c>
      <c r="L18" s="2" t="s">
        <v>181</v>
      </c>
      <c r="M18" s="2" t="s">
        <v>58</v>
      </c>
      <c r="N18" s="2" t="s">
        <v>182</v>
      </c>
      <c r="O18" s="2" t="s">
        <v>183</v>
      </c>
      <c r="P18" s="2" t="s">
        <v>51</v>
      </c>
      <c r="Q18" s="2"/>
    </row>
    <row r="19" customFormat="false" ht="35.05" hidden="false" customHeight="false" outlineLevel="0" collapsed="false">
      <c r="A19" s="2" t="s">
        <v>184</v>
      </c>
      <c r="B19" s="2" t="s">
        <v>96</v>
      </c>
      <c r="C19" s="2" t="s">
        <v>185</v>
      </c>
      <c r="D19" s="2" t="s">
        <v>27</v>
      </c>
      <c r="E19" s="2" t="s">
        <v>186</v>
      </c>
      <c r="F19" s="2" t="s">
        <v>96</v>
      </c>
      <c r="G19" s="2" t="s">
        <v>187</v>
      </c>
      <c r="H19" s="2" t="s">
        <v>30</v>
      </c>
      <c r="I19" s="2" t="s">
        <v>188</v>
      </c>
      <c r="J19" s="2" t="s">
        <v>189</v>
      </c>
      <c r="K19" s="2" t="s">
        <v>190</v>
      </c>
      <c r="L19" s="2" t="s">
        <v>191</v>
      </c>
      <c r="M19" s="2" t="s">
        <v>48</v>
      </c>
      <c r="N19" s="2" t="s">
        <v>192</v>
      </c>
      <c r="O19" s="2" t="s">
        <v>193</v>
      </c>
      <c r="P19" s="2" t="s">
        <v>51</v>
      </c>
      <c r="Q19" s="2"/>
    </row>
    <row r="20" customFormat="false" ht="35.05" hidden="false" customHeight="false" outlineLevel="0" collapsed="false">
      <c r="A20" s="2" t="s">
        <v>194</v>
      </c>
      <c r="B20" s="2" t="s">
        <v>96</v>
      </c>
      <c r="C20" s="2" t="s">
        <v>195</v>
      </c>
      <c r="D20" s="2" t="s">
        <v>27</v>
      </c>
      <c r="E20" s="2" t="s">
        <v>63</v>
      </c>
      <c r="F20" s="2" t="s">
        <v>96</v>
      </c>
      <c r="G20" s="2" t="s">
        <v>29</v>
      </c>
      <c r="H20" s="2" t="s">
        <v>30</v>
      </c>
      <c r="I20" s="2" t="s">
        <v>196</v>
      </c>
      <c r="J20" s="2" t="s">
        <v>197</v>
      </c>
      <c r="K20" s="2" t="s">
        <v>46</v>
      </c>
      <c r="L20" s="2" t="s">
        <v>198</v>
      </c>
      <c r="M20" s="2" t="s">
        <v>199</v>
      </c>
      <c r="N20" s="2" t="s">
        <v>200</v>
      </c>
      <c r="O20" s="2" t="s">
        <v>201</v>
      </c>
      <c r="P20" s="2" t="s">
        <v>51</v>
      </c>
      <c r="Q20" s="2"/>
    </row>
    <row r="21" customFormat="false" ht="35.05" hidden="false" customHeight="false" outlineLevel="0" collapsed="false">
      <c r="A21" s="2" t="s">
        <v>202</v>
      </c>
      <c r="B21" s="2" t="s">
        <v>96</v>
      </c>
      <c r="C21" s="2" t="s">
        <v>203</v>
      </c>
      <c r="D21" s="2" t="s">
        <v>27</v>
      </c>
      <c r="E21" s="2" t="s">
        <v>63</v>
      </c>
      <c r="F21" s="2" t="s">
        <v>96</v>
      </c>
      <c r="G21" s="2" t="s">
        <v>29</v>
      </c>
      <c r="H21" s="2" t="s">
        <v>30</v>
      </c>
      <c r="I21" s="2" t="s">
        <v>204</v>
      </c>
      <c r="J21" s="2" t="s">
        <v>205</v>
      </c>
      <c r="K21" s="2" t="s">
        <v>46</v>
      </c>
      <c r="L21" s="2" t="s">
        <v>206</v>
      </c>
      <c r="M21" s="2" t="s">
        <v>48</v>
      </c>
      <c r="N21" s="2" t="s">
        <v>207</v>
      </c>
      <c r="O21" s="2" t="s">
        <v>208</v>
      </c>
      <c r="P21" s="2" t="s">
        <v>51</v>
      </c>
      <c r="Q21" s="2"/>
    </row>
    <row r="22" customFormat="false" ht="57.45" hidden="false" customHeight="false" outlineLevel="0" collapsed="false">
      <c r="A22" s="2" t="s">
        <v>209</v>
      </c>
      <c r="B22" s="2" t="s">
        <v>96</v>
      </c>
      <c r="C22" s="2" t="s">
        <v>210</v>
      </c>
      <c r="D22" s="2" t="s">
        <v>27</v>
      </c>
      <c r="E22" s="2" t="s">
        <v>28</v>
      </c>
      <c r="F22" s="2" t="s">
        <v>96</v>
      </c>
      <c r="G22" s="2" t="s">
        <v>29</v>
      </c>
      <c r="H22" s="2" t="s">
        <v>30</v>
      </c>
      <c r="I22" s="2" t="s">
        <v>211</v>
      </c>
      <c r="J22" s="2" t="s">
        <v>212</v>
      </c>
      <c r="K22" s="2" t="s">
        <v>46</v>
      </c>
      <c r="L22" s="2" t="s">
        <v>213</v>
      </c>
      <c r="M22" s="2" t="s">
        <v>48</v>
      </c>
      <c r="N22" s="2" t="s">
        <v>214</v>
      </c>
      <c r="O22" s="2" t="s">
        <v>215</v>
      </c>
      <c r="P22" s="2" t="s">
        <v>51</v>
      </c>
      <c r="Q22" s="2"/>
    </row>
    <row r="23" customFormat="false" ht="124.6" hidden="false" customHeight="false" outlineLevel="0" collapsed="false">
      <c r="A23" s="2" t="s">
        <v>216</v>
      </c>
      <c r="B23" s="2" t="s">
        <v>217</v>
      </c>
      <c r="C23" s="2" t="s">
        <v>218</v>
      </c>
      <c r="D23" s="2" t="s">
        <v>27</v>
      </c>
      <c r="E23" s="2" t="s">
        <v>42</v>
      </c>
      <c r="F23" s="2"/>
      <c r="G23" s="2" t="s">
        <v>43</v>
      </c>
      <c r="H23" s="2" t="s">
        <v>161</v>
      </c>
      <c r="I23" s="2" t="s">
        <v>219</v>
      </c>
      <c r="J23" s="2" t="s">
        <v>220</v>
      </c>
      <c r="K23" s="2" t="s">
        <v>46</v>
      </c>
      <c r="L23" s="2" t="s">
        <v>221</v>
      </c>
      <c r="M23" s="2" t="s">
        <v>138</v>
      </c>
      <c r="N23" s="2" t="s">
        <v>222</v>
      </c>
      <c r="O23" s="2" t="s">
        <v>223</v>
      </c>
      <c r="P23" s="2" t="s">
        <v>51</v>
      </c>
      <c r="Q23" s="2"/>
    </row>
    <row r="24" customFormat="false" ht="57.45" hidden="false" customHeight="false" outlineLevel="0" collapsed="false">
      <c r="A24" s="2" t="s">
        <v>224</v>
      </c>
      <c r="B24" s="2" t="s">
        <v>217</v>
      </c>
      <c r="C24" s="2" t="s">
        <v>225</v>
      </c>
      <c r="D24" s="2" t="s">
        <v>27</v>
      </c>
      <c r="E24" s="2" t="s">
        <v>77</v>
      </c>
      <c r="F24" s="2" t="s">
        <v>217</v>
      </c>
      <c r="G24" s="2" t="s">
        <v>226</v>
      </c>
      <c r="H24" s="2" t="s">
        <v>98</v>
      </c>
      <c r="I24" s="2" t="s">
        <v>227</v>
      </c>
      <c r="J24" s="2" t="s">
        <v>228</v>
      </c>
      <c r="K24" s="2" t="s">
        <v>46</v>
      </c>
      <c r="L24" s="2" t="s">
        <v>229</v>
      </c>
      <c r="M24" s="2" t="s">
        <v>34</v>
      </c>
      <c r="N24" s="2" t="s">
        <v>230</v>
      </c>
      <c r="O24" s="2" t="s">
        <v>231</v>
      </c>
      <c r="P24" s="2" t="s">
        <v>51</v>
      </c>
      <c r="Q24" s="2"/>
    </row>
    <row r="25" customFormat="false" ht="46.25" hidden="false" customHeight="false" outlineLevel="0" collapsed="false">
      <c r="A25" s="2" t="s">
        <v>232</v>
      </c>
      <c r="B25" s="2" t="s">
        <v>217</v>
      </c>
      <c r="C25" s="2" t="s">
        <v>233</v>
      </c>
      <c r="D25" s="2" t="s">
        <v>27</v>
      </c>
      <c r="E25" s="2" t="s">
        <v>77</v>
      </c>
      <c r="F25" s="2" t="s">
        <v>217</v>
      </c>
      <c r="G25" s="2" t="s">
        <v>29</v>
      </c>
      <c r="H25" s="2" t="s">
        <v>161</v>
      </c>
      <c r="I25" s="2" t="s">
        <v>234</v>
      </c>
      <c r="J25" s="2" t="s">
        <v>235</v>
      </c>
      <c r="K25" s="2" t="s">
        <v>46</v>
      </c>
      <c r="L25" s="2" t="s">
        <v>33</v>
      </c>
      <c r="M25" s="2" t="s">
        <v>48</v>
      </c>
      <c r="N25" s="2" t="s">
        <v>236</v>
      </c>
      <c r="O25" s="2" t="s">
        <v>237</v>
      </c>
      <c r="P25" s="2" t="s">
        <v>51</v>
      </c>
      <c r="Q25" s="2"/>
    </row>
    <row r="26" customFormat="false" ht="23.85" hidden="false" customHeight="false" outlineLevel="0" collapsed="false">
      <c r="A26" s="2" t="s">
        <v>238</v>
      </c>
      <c r="B26" s="2" t="s">
        <v>217</v>
      </c>
      <c r="C26" s="2" t="s">
        <v>239</v>
      </c>
      <c r="D26" s="2" t="s">
        <v>27</v>
      </c>
      <c r="E26" s="2" t="s">
        <v>77</v>
      </c>
      <c r="F26" s="2" t="s">
        <v>217</v>
      </c>
      <c r="G26" s="2" t="s">
        <v>88</v>
      </c>
      <c r="H26" s="2" t="s">
        <v>161</v>
      </c>
      <c r="I26" s="2" t="s">
        <v>240</v>
      </c>
      <c r="J26" s="2" t="s">
        <v>241</v>
      </c>
      <c r="K26" s="2" t="s">
        <v>46</v>
      </c>
      <c r="L26" s="2" t="s">
        <v>46</v>
      </c>
      <c r="M26" s="2" t="s">
        <v>34</v>
      </c>
      <c r="N26" s="2" t="s">
        <v>242</v>
      </c>
      <c r="O26" s="2" t="s">
        <v>243</v>
      </c>
      <c r="P26" s="2" t="s">
        <v>51</v>
      </c>
      <c r="Q26" s="2"/>
    </row>
    <row r="27" customFormat="false" ht="68.65" hidden="false" customHeight="false" outlineLevel="0" collapsed="false">
      <c r="A27" s="2" t="s">
        <v>244</v>
      </c>
      <c r="B27" s="2" t="s">
        <v>217</v>
      </c>
      <c r="C27" s="2" t="s">
        <v>245</v>
      </c>
      <c r="D27" s="2" t="s">
        <v>27</v>
      </c>
      <c r="E27" s="2" t="s">
        <v>186</v>
      </c>
      <c r="F27" s="2" t="s">
        <v>217</v>
      </c>
      <c r="G27" s="2" t="s">
        <v>226</v>
      </c>
      <c r="H27" s="2" t="s">
        <v>98</v>
      </c>
      <c r="I27" s="2" t="s">
        <v>246</v>
      </c>
      <c r="J27" s="2" t="s">
        <v>247</v>
      </c>
      <c r="K27" s="2" t="s">
        <v>248</v>
      </c>
      <c r="L27" s="2" t="s">
        <v>249</v>
      </c>
      <c r="M27" s="2" t="s">
        <v>48</v>
      </c>
      <c r="N27" s="2" t="s">
        <v>250</v>
      </c>
      <c r="O27" s="2" t="s">
        <v>251</v>
      </c>
      <c r="P27" s="2" t="s">
        <v>51</v>
      </c>
      <c r="Q27" s="2"/>
    </row>
    <row r="28" customFormat="false" ht="35.05" hidden="false" customHeight="false" outlineLevel="0" collapsed="false">
      <c r="A28" s="2" t="s">
        <v>252</v>
      </c>
      <c r="B28" s="2" t="s">
        <v>217</v>
      </c>
      <c r="C28" s="2" t="s">
        <v>253</v>
      </c>
      <c r="D28" s="2" t="s">
        <v>27</v>
      </c>
      <c r="E28" s="2" t="s">
        <v>63</v>
      </c>
      <c r="F28" s="2" t="s">
        <v>217</v>
      </c>
      <c r="G28" s="2" t="s">
        <v>29</v>
      </c>
      <c r="H28" s="2" t="s">
        <v>161</v>
      </c>
      <c r="I28" s="2" t="s">
        <v>254</v>
      </c>
      <c r="J28" s="2" t="s">
        <v>255</v>
      </c>
      <c r="K28" s="2" t="s">
        <v>46</v>
      </c>
      <c r="L28" s="2" t="s">
        <v>256</v>
      </c>
      <c r="M28" s="2" t="s">
        <v>48</v>
      </c>
      <c r="N28" s="2" t="s">
        <v>257</v>
      </c>
      <c r="O28" s="2" t="s">
        <v>258</v>
      </c>
      <c r="P28" s="2" t="s">
        <v>51</v>
      </c>
      <c r="Q28" s="2"/>
    </row>
    <row r="29" customFormat="false" ht="158.2" hidden="false" customHeight="false" outlineLevel="0" collapsed="false">
      <c r="A29" s="2" t="s">
        <v>259</v>
      </c>
      <c r="B29" s="2" t="s">
        <v>260</v>
      </c>
      <c r="C29" s="2" t="s">
        <v>261</v>
      </c>
      <c r="D29" s="2" t="s">
        <v>27</v>
      </c>
      <c r="E29" s="2" t="s">
        <v>42</v>
      </c>
      <c r="F29" s="2"/>
      <c r="G29" s="2" t="s">
        <v>262</v>
      </c>
      <c r="H29" s="2" t="s">
        <v>98</v>
      </c>
      <c r="I29" s="2" t="s">
        <v>263</v>
      </c>
      <c r="J29" s="2" t="s">
        <v>264</v>
      </c>
      <c r="K29" s="2" t="s">
        <v>46</v>
      </c>
      <c r="L29" s="2" t="s">
        <v>265</v>
      </c>
      <c r="M29" s="2" t="s">
        <v>266</v>
      </c>
      <c r="N29" s="2" t="s">
        <v>267</v>
      </c>
      <c r="O29" s="2" t="s">
        <v>268</v>
      </c>
      <c r="P29" s="2" t="s">
        <v>37</v>
      </c>
      <c r="Q29" s="2" t="s">
        <v>269</v>
      </c>
    </row>
    <row r="30" customFormat="false" ht="57.45" hidden="false" customHeight="false" outlineLevel="0" collapsed="false">
      <c r="A30" s="2" t="s">
        <v>270</v>
      </c>
      <c r="B30" s="2" t="s">
        <v>260</v>
      </c>
      <c r="C30" s="2" t="s">
        <v>271</v>
      </c>
      <c r="D30" s="2" t="s">
        <v>27</v>
      </c>
      <c r="E30" s="2" t="s">
        <v>77</v>
      </c>
      <c r="F30" s="2" t="s">
        <v>260</v>
      </c>
      <c r="G30" s="2" t="s">
        <v>262</v>
      </c>
      <c r="H30" s="2" t="s">
        <v>161</v>
      </c>
      <c r="I30" s="2" t="s">
        <v>272</v>
      </c>
      <c r="J30" s="2" t="s">
        <v>273</v>
      </c>
      <c r="K30" s="2" t="s">
        <v>46</v>
      </c>
      <c r="L30" s="2" t="s">
        <v>256</v>
      </c>
      <c r="M30" s="2" t="s">
        <v>34</v>
      </c>
      <c r="N30" s="2" t="s">
        <v>274</v>
      </c>
      <c r="O30" s="2" t="s">
        <v>275</v>
      </c>
      <c r="P30" s="2" t="s">
        <v>51</v>
      </c>
      <c r="Q30" s="2"/>
    </row>
    <row r="31" customFormat="false" ht="46.25" hidden="false" customHeight="false" outlineLevel="0" collapsed="false">
      <c r="A31" s="2" t="s">
        <v>276</v>
      </c>
      <c r="B31" s="2" t="s">
        <v>260</v>
      </c>
      <c r="C31" s="2" t="s">
        <v>277</v>
      </c>
      <c r="D31" s="2" t="s">
        <v>27</v>
      </c>
      <c r="E31" s="2" t="s">
        <v>77</v>
      </c>
      <c r="F31" s="2" t="s">
        <v>260</v>
      </c>
      <c r="G31" s="2" t="s">
        <v>262</v>
      </c>
      <c r="H31" s="2" t="s">
        <v>278</v>
      </c>
      <c r="I31" s="2" t="s">
        <v>279</v>
      </c>
      <c r="J31" s="2" t="s">
        <v>280</v>
      </c>
      <c r="K31" s="2" t="s">
        <v>46</v>
      </c>
      <c r="L31" s="2" t="s">
        <v>256</v>
      </c>
      <c r="M31" s="2" t="s">
        <v>34</v>
      </c>
      <c r="N31" s="2" t="s">
        <v>281</v>
      </c>
      <c r="O31" s="2" t="s">
        <v>282</v>
      </c>
      <c r="P31" s="2" t="s">
        <v>51</v>
      </c>
      <c r="Q31" s="2"/>
    </row>
    <row r="32" customFormat="false" ht="46.25" hidden="false" customHeight="false" outlineLevel="0" collapsed="false">
      <c r="A32" s="2" t="s">
        <v>283</v>
      </c>
      <c r="B32" s="2" t="s">
        <v>260</v>
      </c>
      <c r="C32" s="2" t="s">
        <v>284</v>
      </c>
      <c r="D32" s="2" t="s">
        <v>27</v>
      </c>
      <c r="E32" s="2" t="s">
        <v>77</v>
      </c>
      <c r="F32" s="2" t="s">
        <v>260</v>
      </c>
      <c r="G32" s="2" t="s">
        <v>262</v>
      </c>
      <c r="H32" s="2" t="s">
        <v>285</v>
      </c>
      <c r="I32" s="2" t="s">
        <v>286</v>
      </c>
      <c r="J32" s="2" t="s">
        <v>287</v>
      </c>
      <c r="K32" s="2" t="s">
        <v>46</v>
      </c>
      <c r="L32" s="2" t="s">
        <v>33</v>
      </c>
      <c r="M32" s="2" t="s">
        <v>34</v>
      </c>
      <c r="N32" s="2" t="s">
        <v>288</v>
      </c>
      <c r="O32" s="2" t="s">
        <v>289</v>
      </c>
      <c r="P32" s="2" t="s">
        <v>51</v>
      </c>
      <c r="Q32" s="2"/>
    </row>
    <row r="33" customFormat="false" ht="23.85" hidden="false" customHeight="false" outlineLevel="0" collapsed="false">
      <c r="A33" s="2" t="s">
        <v>290</v>
      </c>
      <c r="B33" s="2" t="s">
        <v>260</v>
      </c>
      <c r="C33" s="2" t="s">
        <v>291</v>
      </c>
      <c r="D33" s="2" t="s">
        <v>27</v>
      </c>
      <c r="E33" s="2" t="s">
        <v>77</v>
      </c>
      <c r="F33" s="2" t="s">
        <v>260</v>
      </c>
      <c r="G33" s="2" t="s">
        <v>88</v>
      </c>
      <c r="H33" s="2" t="s">
        <v>161</v>
      </c>
      <c r="I33" s="2" t="s">
        <v>292</v>
      </c>
      <c r="J33" s="2" t="s">
        <v>293</v>
      </c>
      <c r="K33" s="2" t="s">
        <v>294</v>
      </c>
      <c r="L33" s="2" t="s">
        <v>295</v>
      </c>
      <c r="M33" s="2" t="s">
        <v>48</v>
      </c>
      <c r="N33" s="2" t="s">
        <v>296</v>
      </c>
      <c r="O33" s="2" t="s">
        <v>297</v>
      </c>
      <c r="P33" s="2" t="s">
        <v>51</v>
      </c>
      <c r="Q33" s="2"/>
    </row>
    <row r="34" customFormat="false" ht="23.85" hidden="false" customHeight="false" outlineLevel="0" collapsed="false">
      <c r="A34" s="2" t="s">
        <v>298</v>
      </c>
      <c r="B34" s="2" t="s">
        <v>260</v>
      </c>
      <c r="C34" s="2" t="s">
        <v>299</v>
      </c>
      <c r="D34" s="2" t="s">
        <v>27</v>
      </c>
      <c r="E34" s="2" t="s">
        <v>77</v>
      </c>
      <c r="F34" s="2" t="s">
        <v>260</v>
      </c>
      <c r="G34" s="2" t="s">
        <v>187</v>
      </c>
      <c r="H34" s="2" t="s">
        <v>300</v>
      </c>
      <c r="I34" s="2" t="s">
        <v>301</v>
      </c>
      <c r="J34" s="2" t="s">
        <v>302</v>
      </c>
      <c r="K34" s="2" t="s">
        <v>302</v>
      </c>
      <c r="L34" s="2" t="s">
        <v>302</v>
      </c>
      <c r="M34" s="2" t="s">
        <v>302</v>
      </c>
      <c r="N34" s="2"/>
      <c r="O34" s="2" t="s">
        <v>303</v>
      </c>
      <c r="P34" s="2" t="s">
        <v>51</v>
      </c>
      <c r="Q34" s="2"/>
    </row>
    <row r="35" customFormat="false" ht="46.25" hidden="false" customHeight="false" outlineLevel="0" collapsed="false">
      <c r="A35" s="2" t="s">
        <v>304</v>
      </c>
      <c r="B35" s="2" t="s">
        <v>260</v>
      </c>
      <c r="C35" s="2" t="s">
        <v>305</v>
      </c>
      <c r="D35" s="2" t="s">
        <v>27</v>
      </c>
      <c r="E35" s="2" t="s">
        <v>306</v>
      </c>
      <c r="F35" s="2" t="s">
        <v>260</v>
      </c>
      <c r="G35" s="2" t="s">
        <v>262</v>
      </c>
      <c r="H35" s="2" t="s">
        <v>307</v>
      </c>
      <c r="I35" s="2" t="s">
        <v>308</v>
      </c>
      <c r="J35" s="2" t="s">
        <v>309</v>
      </c>
      <c r="K35" s="2" t="s">
        <v>46</v>
      </c>
      <c r="L35" s="2" t="s">
        <v>46</v>
      </c>
      <c r="M35" s="2" t="s">
        <v>34</v>
      </c>
      <c r="N35" s="2" t="s">
        <v>310</v>
      </c>
      <c r="O35" s="2" t="s">
        <v>311</v>
      </c>
      <c r="P35" s="2" t="s">
        <v>51</v>
      </c>
      <c r="Q35" s="2"/>
    </row>
    <row r="36" customFormat="false" ht="23.85" hidden="false" customHeight="false" outlineLevel="0" collapsed="false">
      <c r="A36" s="2" t="s">
        <v>312</v>
      </c>
      <c r="B36" s="2" t="s">
        <v>260</v>
      </c>
      <c r="C36" s="2" t="s">
        <v>313</v>
      </c>
      <c r="D36" s="2" t="s">
        <v>27</v>
      </c>
      <c r="E36" s="2" t="s">
        <v>169</v>
      </c>
      <c r="F36" s="2" t="s">
        <v>260</v>
      </c>
      <c r="G36" s="2" t="s">
        <v>151</v>
      </c>
      <c r="H36" s="2" t="s">
        <v>109</v>
      </c>
      <c r="I36" s="2" t="s">
        <v>314</v>
      </c>
      <c r="J36" s="2" t="s">
        <v>315</v>
      </c>
      <c r="K36" s="2" t="s">
        <v>316</v>
      </c>
      <c r="L36" s="2" t="s">
        <v>317</v>
      </c>
      <c r="M36" s="2" t="s">
        <v>48</v>
      </c>
      <c r="N36" s="2" t="s">
        <v>318</v>
      </c>
      <c r="O36" s="2" t="s">
        <v>319</v>
      </c>
      <c r="P36" s="2" t="s">
        <v>51</v>
      </c>
      <c r="Q36" s="2"/>
    </row>
    <row r="37" customFormat="false" ht="35.05" hidden="false" customHeight="false" outlineLevel="0" collapsed="false">
      <c r="A37" s="2" t="s">
        <v>320</v>
      </c>
      <c r="B37" s="2" t="s">
        <v>260</v>
      </c>
      <c r="C37" s="2" t="s">
        <v>321</v>
      </c>
      <c r="D37" s="2" t="s">
        <v>27</v>
      </c>
      <c r="E37" s="2" t="s">
        <v>63</v>
      </c>
      <c r="F37" s="2" t="s">
        <v>260</v>
      </c>
      <c r="G37" s="2" t="s">
        <v>29</v>
      </c>
      <c r="H37" s="2" t="s">
        <v>307</v>
      </c>
      <c r="I37" s="2" t="s">
        <v>322</v>
      </c>
      <c r="J37" s="2" t="s">
        <v>323</v>
      </c>
      <c r="K37" s="2" t="s">
        <v>46</v>
      </c>
      <c r="L37" s="2" t="s">
        <v>33</v>
      </c>
      <c r="M37" s="2" t="s">
        <v>34</v>
      </c>
      <c r="N37" s="2" t="s">
        <v>324</v>
      </c>
      <c r="O37" s="2" t="s">
        <v>325</v>
      </c>
      <c r="P37" s="2" t="s">
        <v>51</v>
      </c>
      <c r="Q37" s="2"/>
    </row>
    <row r="38" customFormat="false" ht="23.85" hidden="false" customHeight="false" outlineLevel="0" collapsed="false">
      <c r="A38" s="2" t="s">
        <v>326</v>
      </c>
      <c r="B38" s="2" t="s">
        <v>260</v>
      </c>
      <c r="C38" s="2" t="s">
        <v>327</v>
      </c>
      <c r="D38" s="2" t="s">
        <v>27</v>
      </c>
      <c r="E38" s="2" t="s">
        <v>28</v>
      </c>
      <c r="F38" s="2" t="s">
        <v>260</v>
      </c>
      <c r="G38" s="2" t="s">
        <v>29</v>
      </c>
      <c r="H38" s="2" t="s">
        <v>30</v>
      </c>
      <c r="I38" s="2" t="s">
        <v>328</v>
      </c>
      <c r="J38" s="2" t="s">
        <v>329</v>
      </c>
      <c r="K38" s="2" t="s">
        <v>33</v>
      </c>
      <c r="L38" s="2" t="s">
        <v>33</v>
      </c>
      <c r="M38" s="2" t="s">
        <v>34</v>
      </c>
      <c r="N38" s="2" t="s">
        <v>330</v>
      </c>
      <c r="O38" s="2" t="s">
        <v>331</v>
      </c>
      <c r="P38" s="2" t="s">
        <v>37</v>
      </c>
      <c r="Q38" s="2" t="s">
        <v>332</v>
      </c>
    </row>
    <row r="39" customFormat="false" ht="23.85" hidden="false" customHeight="false" outlineLevel="0" collapsed="false">
      <c r="A39" s="2" t="s">
        <v>333</v>
      </c>
      <c r="B39" s="2" t="s">
        <v>260</v>
      </c>
      <c r="C39" s="2" t="s">
        <v>334</v>
      </c>
      <c r="D39" s="2" t="s">
        <v>27</v>
      </c>
      <c r="E39" s="2" t="s">
        <v>87</v>
      </c>
      <c r="F39" s="2"/>
      <c r="G39" s="2" t="s">
        <v>88</v>
      </c>
      <c r="H39" s="2" t="s">
        <v>30</v>
      </c>
      <c r="I39" s="2" t="s">
        <v>335</v>
      </c>
      <c r="J39" s="2" t="s">
        <v>336</v>
      </c>
      <c r="K39" s="2" t="s">
        <v>91</v>
      </c>
      <c r="L39" s="2" t="s">
        <v>91</v>
      </c>
      <c r="M39" s="2" t="s">
        <v>34</v>
      </c>
      <c r="N39" s="2"/>
      <c r="O39" s="2" t="s">
        <v>337</v>
      </c>
      <c r="P39" s="2" t="s">
        <v>51</v>
      </c>
      <c r="Q39" s="2"/>
    </row>
    <row r="40" customFormat="false" ht="124.6" hidden="false" customHeight="false" outlineLevel="0" collapsed="false">
      <c r="A40" s="2" t="s">
        <v>338</v>
      </c>
      <c r="B40" s="2" t="s">
        <v>339</v>
      </c>
      <c r="C40" s="2" t="s">
        <v>340</v>
      </c>
      <c r="D40" s="2" t="s">
        <v>27</v>
      </c>
      <c r="E40" s="2" t="s">
        <v>42</v>
      </c>
      <c r="F40" s="2"/>
      <c r="G40" s="2" t="s">
        <v>151</v>
      </c>
      <c r="H40" s="2" t="s">
        <v>98</v>
      </c>
      <c r="I40" s="2" t="s">
        <v>341</v>
      </c>
      <c r="J40" s="2" t="s">
        <v>342</v>
      </c>
      <c r="K40" s="2" t="s">
        <v>343</v>
      </c>
      <c r="L40" s="2" t="s">
        <v>344</v>
      </c>
      <c r="M40" s="2" t="s">
        <v>345</v>
      </c>
      <c r="N40" s="2" t="s">
        <v>346</v>
      </c>
      <c r="O40" s="2" t="s">
        <v>347</v>
      </c>
      <c r="P40" s="2" t="s">
        <v>37</v>
      </c>
      <c r="Q40" s="2" t="s">
        <v>348</v>
      </c>
    </row>
    <row r="41" customFormat="false" ht="35.05" hidden="false" customHeight="false" outlineLevel="0" collapsed="false">
      <c r="A41" s="2" t="s">
        <v>349</v>
      </c>
      <c r="B41" s="2" t="s">
        <v>339</v>
      </c>
      <c r="C41" s="2" t="s">
        <v>350</v>
      </c>
      <c r="D41" s="2" t="s">
        <v>27</v>
      </c>
      <c r="E41" s="2" t="s">
        <v>77</v>
      </c>
      <c r="F41" s="2" t="s">
        <v>339</v>
      </c>
      <c r="G41" s="2" t="s">
        <v>151</v>
      </c>
      <c r="H41" s="2" t="s">
        <v>161</v>
      </c>
      <c r="I41" s="2" t="s">
        <v>351</v>
      </c>
      <c r="J41" s="2" t="s">
        <v>352</v>
      </c>
      <c r="K41" s="2" t="s">
        <v>46</v>
      </c>
      <c r="L41" s="2" t="s">
        <v>33</v>
      </c>
      <c r="M41" s="2" t="s">
        <v>345</v>
      </c>
      <c r="N41" s="2" t="s">
        <v>353</v>
      </c>
      <c r="O41" s="2" t="s">
        <v>354</v>
      </c>
      <c r="P41" s="2" t="s">
        <v>51</v>
      </c>
      <c r="Q41" s="2"/>
    </row>
    <row r="42" customFormat="false" ht="124.6" hidden="false" customHeight="false" outlineLevel="0" collapsed="false">
      <c r="A42" s="2" t="s">
        <v>355</v>
      </c>
      <c r="B42" s="2" t="s">
        <v>356</v>
      </c>
      <c r="C42" s="2" t="s">
        <v>357</v>
      </c>
      <c r="D42" s="2" t="s">
        <v>27</v>
      </c>
      <c r="E42" s="2" t="s">
        <v>42</v>
      </c>
      <c r="F42" s="2"/>
      <c r="G42" s="2" t="s">
        <v>262</v>
      </c>
      <c r="H42" s="2" t="s">
        <v>358</v>
      </c>
      <c r="I42" s="2" t="s">
        <v>359</v>
      </c>
      <c r="J42" s="2" t="s">
        <v>360</v>
      </c>
      <c r="K42" s="2" t="s">
        <v>46</v>
      </c>
      <c r="L42" s="2" t="s">
        <v>221</v>
      </c>
      <c r="M42" s="2" t="s">
        <v>34</v>
      </c>
      <c r="N42" s="2" t="s">
        <v>361</v>
      </c>
      <c r="O42" s="2" t="s">
        <v>362</v>
      </c>
      <c r="P42" s="2" t="s">
        <v>51</v>
      </c>
      <c r="Q42" s="2"/>
    </row>
    <row r="43" customFormat="false" ht="23.85" hidden="false" customHeight="false" outlineLevel="0" collapsed="false">
      <c r="A43" s="2" t="s">
        <v>363</v>
      </c>
      <c r="B43" s="2" t="s">
        <v>356</v>
      </c>
      <c r="C43" s="2" t="s">
        <v>364</v>
      </c>
      <c r="D43" s="2" t="s">
        <v>27</v>
      </c>
      <c r="E43" s="2" t="s">
        <v>77</v>
      </c>
      <c r="F43" s="2" t="s">
        <v>356</v>
      </c>
      <c r="G43" s="2" t="s">
        <v>262</v>
      </c>
      <c r="H43" s="2" t="s">
        <v>161</v>
      </c>
      <c r="I43" s="2" t="s">
        <v>365</v>
      </c>
      <c r="J43" s="2" t="s">
        <v>366</v>
      </c>
      <c r="K43" s="2" t="s">
        <v>46</v>
      </c>
      <c r="L43" s="2" t="s">
        <v>33</v>
      </c>
      <c r="M43" s="2" t="s">
        <v>34</v>
      </c>
      <c r="N43" s="2" t="s">
        <v>367</v>
      </c>
      <c r="O43" s="2" t="s">
        <v>368</v>
      </c>
      <c r="P43" s="2" t="s">
        <v>51</v>
      </c>
      <c r="Q43" s="2"/>
    </row>
    <row r="44" customFormat="false" ht="23.85" hidden="false" customHeight="false" outlineLevel="0" collapsed="false">
      <c r="A44" s="2" t="s">
        <v>369</v>
      </c>
      <c r="B44" s="2" t="s">
        <v>356</v>
      </c>
      <c r="C44" s="2" t="s">
        <v>370</v>
      </c>
      <c r="D44" s="2" t="s">
        <v>27</v>
      </c>
      <c r="E44" s="2" t="s">
        <v>63</v>
      </c>
      <c r="F44" s="2" t="s">
        <v>356</v>
      </c>
      <c r="G44" s="2" t="s">
        <v>29</v>
      </c>
      <c r="H44" s="2" t="s">
        <v>30</v>
      </c>
      <c r="I44" s="2" t="s">
        <v>371</v>
      </c>
      <c r="J44" s="2" t="s">
        <v>372</v>
      </c>
      <c r="K44" s="2" t="s">
        <v>46</v>
      </c>
      <c r="L44" s="2" t="s">
        <v>33</v>
      </c>
      <c r="M44" s="2" t="s">
        <v>34</v>
      </c>
      <c r="N44" s="2" t="s">
        <v>373</v>
      </c>
      <c r="O44" s="2" t="s">
        <v>374</v>
      </c>
      <c r="P44" s="2" t="s">
        <v>51</v>
      </c>
      <c r="Q44" s="2"/>
    </row>
    <row r="45" customFormat="false" ht="23.85" hidden="false" customHeight="false" outlineLevel="0" collapsed="false">
      <c r="A45" s="2" t="s">
        <v>375</v>
      </c>
      <c r="B45" s="2" t="s">
        <v>356</v>
      </c>
      <c r="C45" s="2" t="s">
        <v>376</v>
      </c>
      <c r="D45" s="2" t="s">
        <v>27</v>
      </c>
      <c r="E45" s="2" t="s">
        <v>28</v>
      </c>
      <c r="F45" s="2" t="s">
        <v>356</v>
      </c>
      <c r="G45" s="2" t="s">
        <v>29</v>
      </c>
      <c r="H45" s="2" t="s">
        <v>161</v>
      </c>
      <c r="I45" s="2" t="s">
        <v>377</v>
      </c>
      <c r="J45" s="2" t="s">
        <v>378</v>
      </c>
      <c r="K45" s="2" t="s">
        <v>46</v>
      </c>
      <c r="L45" s="2" t="s">
        <v>229</v>
      </c>
      <c r="M45" s="2" t="s">
        <v>34</v>
      </c>
      <c r="N45" s="2" t="s">
        <v>379</v>
      </c>
      <c r="O45" s="2" t="s">
        <v>380</v>
      </c>
      <c r="P45" s="2" t="s">
        <v>51</v>
      </c>
      <c r="Q45" s="2"/>
    </row>
    <row r="46" customFormat="false" ht="23.85" hidden="false" customHeight="false" outlineLevel="0" collapsed="false">
      <c r="A46" s="2" t="s">
        <v>381</v>
      </c>
      <c r="B46" s="2" t="s">
        <v>356</v>
      </c>
      <c r="C46" s="2" t="s">
        <v>382</v>
      </c>
      <c r="D46" s="2" t="s">
        <v>27</v>
      </c>
      <c r="E46" s="2" t="s">
        <v>28</v>
      </c>
      <c r="F46" s="2" t="s">
        <v>356</v>
      </c>
      <c r="G46" s="2" t="s">
        <v>29</v>
      </c>
      <c r="H46" s="2" t="s">
        <v>30</v>
      </c>
      <c r="I46" s="2" t="s">
        <v>383</v>
      </c>
      <c r="J46" s="2" t="s">
        <v>384</v>
      </c>
      <c r="K46" s="2" t="s">
        <v>33</v>
      </c>
      <c r="L46" s="2" t="s">
        <v>33</v>
      </c>
      <c r="M46" s="2" t="s">
        <v>34</v>
      </c>
      <c r="N46" s="2" t="s">
        <v>385</v>
      </c>
      <c r="O46" s="2" t="s">
        <v>386</v>
      </c>
      <c r="P46" s="2" t="s">
        <v>37</v>
      </c>
      <c r="Q46" s="2" t="s">
        <v>387</v>
      </c>
    </row>
    <row r="47" customFormat="false" ht="68.65" hidden="false" customHeight="false" outlineLevel="0" collapsed="false">
      <c r="A47" s="2" t="s">
        <v>388</v>
      </c>
      <c r="B47" s="2" t="s">
        <v>389</v>
      </c>
      <c r="C47" s="2" t="s">
        <v>390</v>
      </c>
      <c r="D47" s="2" t="s">
        <v>27</v>
      </c>
      <c r="E47" s="2" t="s">
        <v>42</v>
      </c>
      <c r="F47" s="2"/>
      <c r="G47" s="2" t="s">
        <v>262</v>
      </c>
      <c r="H47" s="2" t="s">
        <v>30</v>
      </c>
      <c r="I47" s="2" t="s">
        <v>391</v>
      </c>
      <c r="J47" s="2" t="s">
        <v>392</v>
      </c>
      <c r="K47" s="2" t="s">
        <v>46</v>
      </c>
      <c r="L47" s="2" t="s">
        <v>393</v>
      </c>
      <c r="M47" s="2" t="s">
        <v>394</v>
      </c>
      <c r="N47" s="2" t="s">
        <v>395</v>
      </c>
      <c r="O47" s="2" t="s">
        <v>396</v>
      </c>
      <c r="P47" s="2" t="s">
        <v>51</v>
      </c>
      <c r="Q47" s="2"/>
    </row>
    <row r="48" customFormat="false" ht="79.85" hidden="false" customHeight="false" outlineLevel="0" collapsed="false">
      <c r="A48" s="2" t="s">
        <v>397</v>
      </c>
      <c r="B48" s="2" t="s">
        <v>398</v>
      </c>
      <c r="C48" s="2" t="s">
        <v>399</v>
      </c>
      <c r="D48" s="2" t="s">
        <v>27</v>
      </c>
      <c r="E48" s="2" t="s">
        <v>42</v>
      </c>
      <c r="F48" s="2"/>
      <c r="G48" s="2" t="s">
        <v>262</v>
      </c>
      <c r="H48" s="2" t="s">
        <v>30</v>
      </c>
      <c r="I48" s="2" t="s">
        <v>400</v>
      </c>
      <c r="J48" s="2" t="s">
        <v>401</v>
      </c>
      <c r="K48" s="2" t="s">
        <v>46</v>
      </c>
      <c r="L48" s="2" t="s">
        <v>393</v>
      </c>
      <c r="M48" s="2" t="s">
        <v>394</v>
      </c>
      <c r="N48" s="2" t="s">
        <v>402</v>
      </c>
      <c r="O48" s="2" t="s">
        <v>403</v>
      </c>
      <c r="P48" s="2" t="s">
        <v>51</v>
      </c>
      <c r="Q48" s="2"/>
    </row>
    <row r="49" customFormat="false" ht="79.85" hidden="false" customHeight="false" outlineLevel="0" collapsed="false">
      <c r="A49" s="2" t="s">
        <v>404</v>
      </c>
      <c r="B49" s="2" t="s">
        <v>405</v>
      </c>
      <c r="C49" s="2" t="s">
        <v>406</v>
      </c>
      <c r="D49" s="2" t="s">
        <v>27</v>
      </c>
      <c r="E49" s="2" t="s">
        <v>42</v>
      </c>
      <c r="F49" s="2"/>
      <c r="G49" s="2" t="s">
        <v>262</v>
      </c>
      <c r="H49" s="2" t="s">
        <v>30</v>
      </c>
      <c r="I49" s="2" t="s">
        <v>407</v>
      </c>
      <c r="J49" s="2" t="s">
        <v>408</v>
      </c>
      <c r="K49" s="2" t="s">
        <v>46</v>
      </c>
      <c r="L49" s="2" t="s">
        <v>393</v>
      </c>
      <c r="M49" s="2" t="s">
        <v>394</v>
      </c>
      <c r="N49" s="2" t="s">
        <v>409</v>
      </c>
      <c r="O49" s="2" t="s">
        <v>410</v>
      </c>
      <c r="P49" s="2" t="s">
        <v>51</v>
      </c>
      <c r="Q49" s="2"/>
    </row>
    <row r="50" customFormat="false" ht="35.05" hidden="false" customHeight="false" outlineLevel="0" collapsed="false">
      <c r="A50" s="2" t="s">
        <v>411</v>
      </c>
      <c r="B50" s="2" t="s">
        <v>412</v>
      </c>
      <c r="C50" s="2" t="s">
        <v>413</v>
      </c>
      <c r="D50" s="2" t="s">
        <v>27</v>
      </c>
      <c r="E50" s="2" t="s">
        <v>28</v>
      </c>
      <c r="F50" s="2" t="s">
        <v>414</v>
      </c>
      <c r="G50" s="2" t="s">
        <v>29</v>
      </c>
      <c r="H50" s="2" t="s">
        <v>30</v>
      </c>
      <c r="I50" s="2" t="s">
        <v>415</v>
      </c>
      <c r="J50" s="2" t="s">
        <v>329</v>
      </c>
      <c r="K50" s="2" t="s">
        <v>33</v>
      </c>
      <c r="L50" s="2" t="s">
        <v>33</v>
      </c>
      <c r="M50" s="2" t="s">
        <v>34</v>
      </c>
      <c r="N50" s="2" t="s">
        <v>416</v>
      </c>
      <c r="O50" s="2" t="s">
        <v>417</v>
      </c>
      <c r="P50" s="2" t="s">
        <v>51</v>
      </c>
      <c r="Q50" s="2"/>
    </row>
    <row r="51" customFormat="false" ht="68.65" hidden="false" customHeight="false" outlineLevel="0" collapsed="false">
      <c r="A51" s="2" t="s">
        <v>418</v>
      </c>
      <c r="B51" s="2" t="s">
        <v>419</v>
      </c>
      <c r="C51" s="2" t="s">
        <v>420</v>
      </c>
      <c r="D51" s="2" t="s">
        <v>27</v>
      </c>
      <c r="E51" s="2" t="s">
        <v>42</v>
      </c>
      <c r="F51" s="2"/>
      <c r="G51" s="2" t="s">
        <v>421</v>
      </c>
      <c r="H51" s="2" t="s">
        <v>30</v>
      </c>
      <c r="I51" s="2" t="s">
        <v>422</v>
      </c>
      <c r="J51" s="2" t="s">
        <v>423</v>
      </c>
      <c r="K51" s="2" t="s">
        <v>46</v>
      </c>
      <c r="L51" s="2" t="s">
        <v>424</v>
      </c>
      <c r="M51" s="2" t="s">
        <v>34</v>
      </c>
      <c r="N51" s="2" t="s">
        <v>425</v>
      </c>
      <c r="O51" s="2" t="s">
        <v>426</v>
      </c>
      <c r="P51" s="2" t="s">
        <v>51</v>
      </c>
      <c r="Q51" s="2"/>
    </row>
    <row r="52" customFormat="false" ht="23.85" hidden="false" customHeight="false" outlineLevel="0" collapsed="false">
      <c r="A52" s="2" t="s">
        <v>427</v>
      </c>
      <c r="B52" s="2" t="s">
        <v>419</v>
      </c>
      <c r="C52" s="2" t="s">
        <v>428</v>
      </c>
      <c r="D52" s="2" t="s">
        <v>27</v>
      </c>
      <c r="E52" s="2" t="s">
        <v>28</v>
      </c>
      <c r="F52" s="2" t="s">
        <v>419</v>
      </c>
      <c r="G52" s="2" t="s">
        <v>29</v>
      </c>
      <c r="H52" s="2" t="s">
        <v>30</v>
      </c>
      <c r="I52" s="2" t="s">
        <v>429</v>
      </c>
      <c r="J52" s="2" t="s">
        <v>329</v>
      </c>
      <c r="K52" s="2" t="s">
        <v>33</v>
      </c>
      <c r="L52" s="2" t="s">
        <v>33</v>
      </c>
      <c r="M52" s="2" t="s">
        <v>34</v>
      </c>
      <c r="N52" s="2" t="s">
        <v>430</v>
      </c>
      <c r="O52" s="2" t="s">
        <v>431</v>
      </c>
      <c r="P52" s="2" t="s">
        <v>37</v>
      </c>
      <c r="Q52" s="2" t="s">
        <v>432</v>
      </c>
    </row>
    <row r="53" customFormat="false" ht="35.05" hidden="false" customHeight="false" outlineLevel="0" collapsed="false">
      <c r="A53" s="2" t="s">
        <v>433</v>
      </c>
      <c r="B53" s="2" t="s">
        <v>434</v>
      </c>
      <c r="C53" s="2" t="s">
        <v>435</v>
      </c>
      <c r="D53" s="2" t="s">
        <v>27</v>
      </c>
      <c r="E53" s="2" t="s">
        <v>87</v>
      </c>
      <c r="F53" s="2"/>
      <c r="G53" s="2" t="s">
        <v>88</v>
      </c>
      <c r="H53" s="2" t="s">
        <v>30</v>
      </c>
      <c r="I53" s="2" t="s">
        <v>436</v>
      </c>
      <c r="J53" s="2" t="s">
        <v>437</v>
      </c>
      <c r="K53" s="2" t="s">
        <v>91</v>
      </c>
      <c r="L53" s="2" t="s">
        <v>91</v>
      </c>
      <c r="M53" s="2" t="s">
        <v>34</v>
      </c>
      <c r="N53" s="2" t="s">
        <v>438</v>
      </c>
      <c r="O53" s="2" t="s">
        <v>439</v>
      </c>
      <c r="P53" s="2" t="s">
        <v>51</v>
      </c>
      <c r="Q53" s="2"/>
    </row>
    <row r="54" customFormat="false" ht="68.65" hidden="false" customHeight="false" outlineLevel="0" collapsed="false">
      <c r="A54" s="2" t="s">
        <v>440</v>
      </c>
      <c r="B54" s="2" t="s">
        <v>441</v>
      </c>
      <c r="C54" s="2" t="s">
        <v>442</v>
      </c>
      <c r="D54" s="2" t="s">
        <v>27</v>
      </c>
      <c r="E54" s="2" t="s">
        <v>42</v>
      </c>
      <c r="F54" s="2"/>
      <c r="G54" s="2" t="s">
        <v>262</v>
      </c>
      <c r="H54" s="2" t="s">
        <v>30</v>
      </c>
      <c r="I54" s="2" t="s">
        <v>443</v>
      </c>
      <c r="J54" s="2" t="s">
        <v>444</v>
      </c>
      <c r="K54" s="2" t="s">
        <v>46</v>
      </c>
      <c r="L54" s="2" t="s">
        <v>445</v>
      </c>
      <c r="M54" s="2" t="s">
        <v>34</v>
      </c>
      <c r="N54" s="2" t="s">
        <v>446</v>
      </c>
      <c r="O54" s="2" t="s">
        <v>447</v>
      </c>
      <c r="P54" s="2" t="s">
        <v>51</v>
      </c>
      <c r="Q54" s="2"/>
    </row>
    <row r="55" customFormat="false" ht="91" hidden="false" customHeight="false" outlineLevel="0" collapsed="false">
      <c r="A55" s="2" t="s">
        <v>448</v>
      </c>
      <c r="B55" s="2" t="s">
        <v>449</v>
      </c>
      <c r="C55" s="2" t="s">
        <v>450</v>
      </c>
      <c r="D55" s="2" t="s">
        <v>27</v>
      </c>
      <c r="E55" s="2" t="s">
        <v>42</v>
      </c>
      <c r="F55" s="2"/>
      <c r="G55" s="2" t="s">
        <v>262</v>
      </c>
      <c r="H55" s="2" t="s">
        <v>30</v>
      </c>
      <c r="I55" s="2" t="s">
        <v>451</v>
      </c>
      <c r="J55" s="2" t="s">
        <v>452</v>
      </c>
      <c r="K55" s="2" t="s">
        <v>46</v>
      </c>
      <c r="L55" s="2" t="s">
        <v>445</v>
      </c>
      <c r="M55" s="2" t="s">
        <v>34</v>
      </c>
      <c r="N55" s="2" t="s">
        <v>453</v>
      </c>
      <c r="O55" s="2" t="s">
        <v>454</v>
      </c>
      <c r="P55" s="2" t="s">
        <v>51</v>
      </c>
      <c r="Q55" s="2"/>
    </row>
    <row r="56" customFormat="false" ht="68.65" hidden="false" customHeight="false" outlineLevel="0" collapsed="false">
      <c r="A56" s="2" t="s">
        <v>455</v>
      </c>
      <c r="B56" s="2" t="s">
        <v>456</v>
      </c>
      <c r="C56" s="2" t="s">
        <v>457</v>
      </c>
      <c r="D56" s="2" t="s">
        <v>27</v>
      </c>
      <c r="E56" s="2" t="s">
        <v>42</v>
      </c>
      <c r="F56" s="2"/>
      <c r="G56" s="2" t="s">
        <v>262</v>
      </c>
      <c r="H56" s="2" t="s">
        <v>30</v>
      </c>
      <c r="I56" s="2" t="s">
        <v>458</v>
      </c>
      <c r="J56" s="2" t="s">
        <v>459</v>
      </c>
      <c r="K56" s="2" t="s">
        <v>46</v>
      </c>
      <c r="L56" s="2" t="s">
        <v>445</v>
      </c>
      <c r="M56" s="2" t="s">
        <v>34</v>
      </c>
      <c r="N56" s="2" t="s">
        <v>446</v>
      </c>
      <c r="O56" s="2" t="s">
        <v>460</v>
      </c>
      <c r="P56" s="2" t="s">
        <v>51</v>
      </c>
      <c r="Q56" s="2"/>
    </row>
    <row r="57" customFormat="false" ht="113.4" hidden="false" customHeight="false" outlineLevel="0" collapsed="false">
      <c r="A57" s="2" t="s">
        <v>461</v>
      </c>
      <c r="B57" s="2" t="s">
        <v>462</v>
      </c>
      <c r="C57" s="2" t="s">
        <v>463</v>
      </c>
      <c r="D57" s="2" t="s">
        <v>27</v>
      </c>
      <c r="E57" s="2" t="s">
        <v>42</v>
      </c>
      <c r="F57" s="2"/>
      <c r="G57" s="2" t="s">
        <v>262</v>
      </c>
      <c r="H57" s="2" t="s">
        <v>98</v>
      </c>
      <c r="I57" s="2" t="s">
        <v>464</v>
      </c>
      <c r="J57" s="2" t="s">
        <v>465</v>
      </c>
      <c r="K57" s="2" t="s">
        <v>466</v>
      </c>
      <c r="L57" s="2" t="s">
        <v>467</v>
      </c>
      <c r="M57" s="2" t="s">
        <v>345</v>
      </c>
      <c r="N57" s="2" t="s">
        <v>468</v>
      </c>
      <c r="O57" s="2" t="s">
        <v>469</v>
      </c>
      <c r="P57" s="2" t="s">
        <v>51</v>
      </c>
      <c r="Q57" s="2"/>
    </row>
    <row r="58" customFormat="false" ht="35.05" hidden="false" customHeight="false" outlineLevel="0" collapsed="false">
      <c r="A58" s="2" t="s">
        <v>470</v>
      </c>
      <c r="B58" s="2" t="s">
        <v>462</v>
      </c>
      <c r="C58" s="2" t="s">
        <v>471</v>
      </c>
      <c r="D58" s="2" t="s">
        <v>27</v>
      </c>
      <c r="E58" s="2" t="s">
        <v>77</v>
      </c>
      <c r="F58" s="2" t="s">
        <v>462</v>
      </c>
      <c r="G58" s="2" t="s">
        <v>262</v>
      </c>
      <c r="H58" s="2" t="s">
        <v>472</v>
      </c>
      <c r="I58" s="2" t="s">
        <v>473</v>
      </c>
      <c r="J58" s="2" t="s">
        <v>474</v>
      </c>
      <c r="K58" s="2" t="s">
        <v>46</v>
      </c>
      <c r="L58" s="2" t="s">
        <v>33</v>
      </c>
      <c r="M58" s="2" t="s">
        <v>345</v>
      </c>
      <c r="N58" s="2" t="s">
        <v>475</v>
      </c>
      <c r="O58" s="2" t="s">
        <v>476</v>
      </c>
      <c r="P58" s="2" t="s">
        <v>51</v>
      </c>
      <c r="Q58" s="2"/>
    </row>
    <row r="59" customFormat="false" ht="23.85" hidden="false" customHeight="false" outlineLevel="0" collapsed="false">
      <c r="A59" s="2" t="s">
        <v>477</v>
      </c>
      <c r="B59" s="2" t="s">
        <v>462</v>
      </c>
      <c r="C59" s="2" t="s">
        <v>478</v>
      </c>
      <c r="D59" s="2" t="s">
        <v>27</v>
      </c>
      <c r="E59" s="2" t="s">
        <v>63</v>
      </c>
      <c r="F59" s="2" t="s">
        <v>462</v>
      </c>
      <c r="G59" s="2" t="s">
        <v>29</v>
      </c>
      <c r="H59" s="2" t="s">
        <v>30</v>
      </c>
      <c r="I59" s="2" t="s">
        <v>479</v>
      </c>
      <c r="J59" s="2" t="s">
        <v>480</v>
      </c>
      <c r="K59" s="2" t="s">
        <v>46</v>
      </c>
      <c r="L59" s="2" t="s">
        <v>33</v>
      </c>
      <c r="M59" s="2" t="s">
        <v>34</v>
      </c>
      <c r="N59" s="2" t="s">
        <v>481</v>
      </c>
      <c r="O59" s="2" t="s">
        <v>482</v>
      </c>
      <c r="P59" s="2" t="s">
        <v>51</v>
      </c>
      <c r="Q59" s="2"/>
    </row>
    <row r="60" customFormat="false" ht="23.85" hidden="false" customHeight="false" outlineLevel="0" collapsed="false">
      <c r="A60" s="2" t="s">
        <v>483</v>
      </c>
      <c r="B60" s="2" t="s">
        <v>462</v>
      </c>
      <c r="C60" s="2" t="s">
        <v>484</v>
      </c>
      <c r="D60" s="2" t="s">
        <v>27</v>
      </c>
      <c r="E60" s="2" t="s">
        <v>28</v>
      </c>
      <c r="F60" s="2"/>
      <c r="G60" s="2" t="s">
        <v>29</v>
      </c>
      <c r="H60" s="2" t="s">
        <v>30</v>
      </c>
      <c r="I60" s="2" t="s">
        <v>485</v>
      </c>
      <c r="J60" s="2" t="s">
        <v>329</v>
      </c>
      <c r="K60" s="2" t="s">
        <v>33</v>
      </c>
      <c r="L60" s="2" t="s">
        <v>33</v>
      </c>
      <c r="M60" s="2" t="s">
        <v>34</v>
      </c>
      <c r="N60" s="2" t="s">
        <v>430</v>
      </c>
      <c r="O60" s="2" t="s">
        <v>486</v>
      </c>
      <c r="P60" s="2" t="s">
        <v>51</v>
      </c>
      <c r="Q60" s="2"/>
    </row>
    <row r="61" customFormat="false" ht="23.85" hidden="false" customHeight="false" outlineLevel="0" collapsed="false">
      <c r="A61" s="2" t="s">
        <v>487</v>
      </c>
      <c r="B61" s="2" t="s">
        <v>488</v>
      </c>
      <c r="C61" s="2" t="s">
        <v>489</v>
      </c>
      <c r="D61" s="2" t="s">
        <v>27</v>
      </c>
      <c r="E61" s="2" t="s">
        <v>28</v>
      </c>
      <c r="F61" s="2"/>
      <c r="G61" s="2" t="s">
        <v>29</v>
      </c>
      <c r="H61" s="2" t="s">
        <v>30</v>
      </c>
      <c r="I61" s="2" t="s">
        <v>490</v>
      </c>
      <c r="J61" s="2" t="s">
        <v>329</v>
      </c>
      <c r="K61" s="2" t="s">
        <v>33</v>
      </c>
      <c r="L61" s="2" t="s">
        <v>33</v>
      </c>
      <c r="M61" s="2" t="s">
        <v>34</v>
      </c>
      <c r="N61" s="2" t="s">
        <v>430</v>
      </c>
      <c r="O61" s="2" t="s">
        <v>491</v>
      </c>
      <c r="P61" s="2" t="s">
        <v>51</v>
      </c>
      <c r="Q61" s="2"/>
    </row>
    <row r="62" customFormat="false" ht="79.85" hidden="false" customHeight="false" outlineLevel="0" collapsed="false">
      <c r="A62" s="2" t="s">
        <v>492</v>
      </c>
      <c r="B62" s="2" t="s">
        <v>493</v>
      </c>
      <c r="C62" s="2" t="s">
        <v>494</v>
      </c>
      <c r="D62" s="2" t="s">
        <v>495</v>
      </c>
      <c r="E62" s="2" t="s">
        <v>77</v>
      </c>
      <c r="F62" s="2"/>
      <c r="G62" s="2" t="s">
        <v>88</v>
      </c>
      <c r="H62" s="2" t="s">
        <v>30</v>
      </c>
      <c r="I62" s="2" t="s">
        <v>496</v>
      </c>
      <c r="J62" s="2" t="s">
        <v>497</v>
      </c>
      <c r="K62" s="2" t="s">
        <v>498</v>
      </c>
      <c r="L62" s="2" t="s">
        <v>499</v>
      </c>
      <c r="M62" s="2" t="s">
        <v>48</v>
      </c>
      <c r="N62" s="2" t="s">
        <v>500</v>
      </c>
      <c r="O62" s="2" t="s">
        <v>501</v>
      </c>
      <c r="P62" s="2" t="s">
        <v>51</v>
      </c>
      <c r="Q62" s="2"/>
    </row>
    <row r="63" customFormat="false" ht="35.05" hidden="false" customHeight="false" outlineLevel="0" collapsed="false">
      <c r="A63" s="2" t="s">
        <v>502</v>
      </c>
      <c r="B63" s="2" t="s">
        <v>493</v>
      </c>
      <c r="C63" s="2" t="s">
        <v>503</v>
      </c>
      <c r="D63" s="2" t="s">
        <v>495</v>
      </c>
      <c r="E63" s="2" t="s">
        <v>87</v>
      </c>
      <c r="F63" s="2"/>
      <c r="G63" s="2" t="s">
        <v>88</v>
      </c>
      <c r="H63" s="2" t="s">
        <v>30</v>
      </c>
      <c r="I63" s="2" t="s">
        <v>504</v>
      </c>
      <c r="J63" s="2" t="s">
        <v>91</v>
      </c>
      <c r="K63" s="2" t="s">
        <v>91</v>
      </c>
      <c r="L63" s="2" t="s">
        <v>91</v>
      </c>
      <c r="M63" s="2" t="s">
        <v>34</v>
      </c>
      <c r="N63" s="2" t="s">
        <v>505</v>
      </c>
      <c r="O63" s="2" t="s">
        <v>506</v>
      </c>
      <c r="P63" s="2" t="s">
        <v>51</v>
      </c>
      <c r="Q63" s="2"/>
    </row>
    <row r="64" customFormat="false" ht="23.85" hidden="false" customHeight="false" outlineLevel="0" collapsed="false">
      <c r="A64" s="2" t="s">
        <v>507</v>
      </c>
      <c r="B64" s="2" t="s">
        <v>508</v>
      </c>
      <c r="C64" s="2" t="s">
        <v>509</v>
      </c>
      <c r="D64" s="2" t="s">
        <v>495</v>
      </c>
      <c r="E64" s="2" t="s">
        <v>77</v>
      </c>
      <c r="F64" s="2" t="s">
        <v>510</v>
      </c>
      <c r="G64" s="2" t="s">
        <v>151</v>
      </c>
      <c r="H64" s="2" t="s">
        <v>511</v>
      </c>
      <c r="I64" s="2" t="s">
        <v>512</v>
      </c>
      <c r="J64" s="2" t="s">
        <v>513</v>
      </c>
      <c r="K64" s="2" t="s">
        <v>46</v>
      </c>
      <c r="L64" s="2" t="s">
        <v>514</v>
      </c>
      <c r="M64" s="2" t="s">
        <v>34</v>
      </c>
      <c r="N64" s="2" t="s">
        <v>515</v>
      </c>
      <c r="O64" s="2" t="s">
        <v>516</v>
      </c>
      <c r="P64" s="2" t="s">
        <v>51</v>
      </c>
      <c r="Q64" s="2"/>
    </row>
    <row r="65" customFormat="false" ht="23.85" hidden="false" customHeight="false" outlineLevel="0" collapsed="false">
      <c r="A65" s="2" t="s">
        <v>517</v>
      </c>
      <c r="B65" s="2" t="s">
        <v>508</v>
      </c>
      <c r="C65" s="2" t="s">
        <v>518</v>
      </c>
      <c r="D65" s="2" t="s">
        <v>495</v>
      </c>
      <c r="E65" s="2" t="s">
        <v>77</v>
      </c>
      <c r="F65" s="2" t="s">
        <v>510</v>
      </c>
      <c r="G65" s="2" t="s">
        <v>151</v>
      </c>
      <c r="H65" s="2" t="s">
        <v>300</v>
      </c>
      <c r="I65" s="2" t="s">
        <v>519</v>
      </c>
      <c r="J65" s="2" t="s">
        <v>520</v>
      </c>
      <c r="K65" s="2" t="s">
        <v>46</v>
      </c>
      <c r="L65" s="2" t="s">
        <v>33</v>
      </c>
      <c r="M65" s="2" t="s">
        <v>34</v>
      </c>
      <c r="N65" s="2" t="s">
        <v>521</v>
      </c>
      <c r="O65" s="2" t="s">
        <v>522</v>
      </c>
      <c r="P65" s="2" t="s">
        <v>51</v>
      </c>
      <c r="Q65" s="2"/>
    </row>
    <row r="66" customFormat="false" ht="23.85" hidden="false" customHeight="false" outlineLevel="0" collapsed="false">
      <c r="A66" s="2" t="s">
        <v>523</v>
      </c>
      <c r="B66" s="2" t="s">
        <v>508</v>
      </c>
      <c r="C66" s="2" t="s">
        <v>524</v>
      </c>
      <c r="D66" s="2" t="s">
        <v>495</v>
      </c>
      <c r="E66" s="2" t="s">
        <v>77</v>
      </c>
      <c r="F66" s="2"/>
      <c r="G66" s="2" t="s">
        <v>29</v>
      </c>
      <c r="H66" s="2" t="s">
        <v>161</v>
      </c>
      <c r="I66" s="2" t="s">
        <v>525</v>
      </c>
      <c r="J66" s="2" t="s">
        <v>526</v>
      </c>
      <c r="K66" s="2" t="s">
        <v>46</v>
      </c>
      <c r="L66" s="2" t="s">
        <v>33</v>
      </c>
      <c r="M66" s="2" t="s">
        <v>34</v>
      </c>
      <c r="N66" s="2" t="s">
        <v>527</v>
      </c>
      <c r="O66" s="2" t="s">
        <v>528</v>
      </c>
      <c r="P66" s="2" t="s">
        <v>51</v>
      </c>
      <c r="Q66" s="2"/>
    </row>
    <row r="67" customFormat="false" ht="35.05" hidden="false" customHeight="false" outlineLevel="0" collapsed="false">
      <c r="A67" s="2" t="s">
        <v>529</v>
      </c>
      <c r="B67" s="2" t="s">
        <v>508</v>
      </c>
      <c r="C67" s="2" t="s">
        <v>530</v>
      </c>
      <c r="D67" s="2" t="s">
        <v>495</v>
      </c>
      <c r="E67" s="2" t="s">
        <v>186</v>
      </c>
      <c r="F67" s="2" t="s">
        <v>510</v>
      </c>
      <c r="G67" s="2" t="s">
        <v>151</v>
      </c>
      <c r="H67" s="2" t="s">
        <v>511</v>
      </c>
      <c r="I67" s="2" t="s">
        <v>531</v>
      </c>
      <c r="J67" s="2" t="s">
        <v>532</v>
      </c>
      <c r="K67" s="2" t="s">
        <v>533</v>
      </c>
      <c r="L67" s="2" t="s">
        <v>534</v>
      </c>
      <c r="M67" s="2" t="s">
        <v>48</v>
      </c>
      <c r="N67" s="2" t="s">
        <v>535</v>
      </c>
      <c r="O67" s="2" t="s">
        <v>536</v>
      </c>
      <c r="P67" s="2" t="s">
        <v>51</v>
      </c>
      <c r="Q67" s="2"/>
    </row>
    <row r="68" customFormat="false" ht="23.85" hidden="false" customHeight="false" outlineLevel="0" collapsed="false">
      <c r="A68" s="2" t="s">
        <v>537</v>
      </c>
      <c r="B68" s="2" t="s">
        <v>538</v>
      </c>
      <c r="C68" s="2" t="s">
        <v>539</v>
      </c>
      <c r="D68" s="2" t="s">
        <v>495</v>
      </c>
      <c r="E68" s="2" t="s">
        <v>87</v>
      </c>
      <c r="F68" s="2"/>
      <c r="G68" s="2" t="s">
        <v>421</v>
      </c>
      <c r="H68" s="2" t="s">
        <v>540</v>
      </c>
      <c r="I68" s="2" t="s">
        <v>541</v>
      </c>
      <c r="J68" s="2" t="s">
        <v>542</v>
      </c>
      <c r="K68" s="2" t="s">
        <v>91</v>
      </c>
      <c r="L68" s="2" t="s">
        <v>91</v>
      </c>
      <c r="M68" s="2" t="s">
        <v>34</v>
      </c>
      <c r="N68" s="2"/>
      <c r="O68" s="2" t="s">
        <v>543</v>
      </c>
      <c r="P68" s="2" t="s">
        <v>51</v>
      </c>
      <c r="Q68" s="2"/>
    </row>
    <row r="69" customFormat="false" ht="35.05" hidden="false" customHeight="false" outlineLevel="0" collapsed="false">
      <c r="A69" s="2" t="s">
        <v>544</v>
      </c>
      <c r="B69" s="2" t="s">
        <v>545</v>
      </c>
      <c r="C69" s="2" t="s">
        <v>546</v>
      </c>
      <c r="D69" s="2" t="s">
        <v>495</v>
      </c>
      <c r="E69" s="2" t="s">
        <v>42</v>
      </c>
      <c r="F69" s="2"/>
      <c r="G69" s="2" t="s">
        <v>151</v>
      </c>
      <c r="H69" s="2" t="s">
        <v>540</v>
      </c>
      <c r="I69" s="2" t="s">
        <v>547</v>
      </c>
      <c r="J69" s="2" t="s">
        <v>548</v>
      </c>
      <c r="K69" s="2" t="s">
        <v>549</v>
      </c>
      <c r="L69" s="2" t="s">
        <v>550</v>
      </c>
      <c r="M69" s="2" t="s">
        <v>34</v>
      </c>
      <c r="N69" s="2" t="s">
        <v>551</v>
      </c>
      <c r="O69" s="2" t="s">
        <v>552</v>
      </c>
      <c r="P69" s="2" t="s">
        <v>51</v>
      </c>
      <c r="Q69" s="2"/>
    </row>
    <row r="70" customFormat="false" ht="23.85" hidden="false" customHeight="false" outlineLevel="0" collapsed="false">
      <c r="A70" s="2" t="s">
        <v>553</v>
      </c>
      <c r="B70" s="2" t="s">
        <v>545</v>
      </c>
      <c r="C70" s="2" t="s">
        <v>554</v>
      </c>
      <c r="D70" s="2" t="s">
        <v>495</v>
      </c>
      <c r="E70" s="2" t="s">
        <v>77</v>
      </c>
      <c r="F70" s="2"/>
      <c r="G70" s="2" t="s">
        <v>29</v>
      </c>
      <c r="H70" s="2" t="s">
        <v>161</v>
      </c>
      <c r="I70" s="2" t="s">
        <v>555</v>
      </c>
      <c r="J70" s="2" t="s">
        <v>556</v>
      </c>
      <c r="K70" s="2" t="s">
        <v>46</v>
      </c>
      <c r="L70" s="2" t="s">
        <v>33</v>
      </c>
      <c r="M70" s="2" t="s">
        <v>34</v>
      </c>
      <c r="N70" s="2" t="s">
        <v>557</v>
      </c>
      <c r="O70" s="2" t="s">
        <v>558</v>
      </c>
      <c r="P70" s="2" t="s">
        <v>51</v>
      </c>
      <c r="Q70" s="2"/>
    </row>
    <row r="71" customFormat="false" ht="23.85" hidden="false" customHeight="false" outlineLevel="0" collapsed="false">
      <c r="A71" s="2" t="s">
        <v>559</v>
      </c>
      <c r="B71" s="2" t="s">
        <v>545</v>
      </c>
      <c r="C71" s="2" t="s">
        <v>560</v>
      </c>
      <c r="D71" s="2" t="s">
        <v>495</v>
      </c>
      <c r="E71" s="2" t="s">
        <v>169</v>
      </c>
      <c r="F71" s="2"/>
      <c r="G71" s="2" t="s">
        <v>226</v>
      </c>
      <c r="H71" s="2" t="s">
        <v>98</v>
      </c>
      <c r="I71" s="2" t="s">
        <v>561</v>
      </c>
      <c r="J71" s="2" t="s">
        <v>562</v>
      </c>
      <c r="K71" s="2" t="s">
        <v>563</v>
      </c>
      <c r="L71" s="2" t="s">
        <v>564</v>
      </c>
      <c r="M71" s="2" t="s">
        <v>58</v>
      </c>
      <c r="N71" s="2" t="s">
        <v>565</v>
      </c>
      <c r="O71" s="2" t="s">
        <v>566</v>
      </c>
      <c r="P71" s="2" t="s">
        <v>51</v>
      </c>
      <c r="Q71" s="2"/>
    </row>
    <row r="72" customFormat="false" ht="57.45" hidden="false" customHeight="false" outlineLevel="0" collapsed="false">
      <c r="A72" s="2" t="s">
        <v>567</v>
      </c>
      <c r="B72" s="2" t="s">
        <v>545</v>
      </c>
      <c r="C72" s="2" t="s">
        <v>568</v>
      </c>
      <c r="D72" s="2" t="s">
        <v>495</v>
      </c>
      <c r="E72" s="2" t="s">
        <v>169</v>
      </c>
      <c r="F72" s="2"/>
      <c r="G72" s="2" t="s">
        <v>151</v>
      </c>
      <c r="H72" s="2" t="s">
        <v>161</v>
      </c>
      <c r="I72" s="2" t="s">
        <v>569</v>
      </c>
      <c r="J72" s="2" t="s">
        <v>570</v>
      </c>
      <c r="K72" s="2" t="s">
        <v>571</v>
      </c>
      <c r="L72" s="2" t="s">
        <v>572</v>
      </c>
      <c r="M72" s="2" t="s">
        <v>34</v>
      </c>
      <c r="N72" s="2" t="s">
        <v>573</v>
      </c>
      <c r="O72" s="2" t="s">
        <v>574</v>
      </c>
      <c r="P72" s="2" t="s">
        <v>51</v>
      </c>
      <c r="Q72" s="2"/>
    </row>
    <row r="73" customFormat="false" ht="23.85" hidden="false" customHeight="false" outlineLevel="0" collapsed="false">
      <c r="A73" s="2" t="s">
        <v>575</v>
      </c>
      <c r="B73" s="2" t="s">
        <v>576</v>
      </c>
      <c r="C73" s="2" t="s">
        <v>577</v>
      </c>
      <c r="D73" s="2" t="s">
        <v>495</v>
      </c>
      <c r="E73" s="2" t="s">
        <v>42</v>
      </c>
      <c r="F73" s="2"/>
      <c r="G73" s="2" t="s">
        <v>421</v>
      </c>
      <c r="H73" s="2" t="s">
        <v>540</v>
      </c>
      <c r="I73" s="2" t="s">
        <v>578</v>
      </c>
      <c r="J73" s="2" t="s">
        <v>579</v>
      </c>
      <c r="K73" s="2" t="s">
        <v>46</v>
      </c>
      <c r="L73" s="2" t="s">
        <v>580</v>
      </c>
      <c r="M73" s="2" t="s">
        <v>34</v>
      </c>
      <c r="N73" s="2" t="s">
        <v>581</v>
      </c>
      <c r="O73" s="2" t="s">
        <v>582</v>
      </c>
      <c r="P73" s="2" t="s">
        <v>37</v>
      </c>
      <c r="Q73" s="2" t="s">
        <v>583</v>
      </c>
    </row>
    <row r="74" customFormat="false" ht="57.45" hidden="false" customHeight="false" outlineLevel="0" collapsed="false">
      <c r="A74" s="2" t="s">
        <v>584</v>
      </c>
      <c r="B74" s="2" t="s">
        <v>585</v>
      </c>
      <c r="C74" s="2" t="s">
        <v>586</v>
      </c>
      <c r="D74" s="2" t="s">
        <v>495</v>
      </c>
      <c r="E74" s="2" t="s">
        <v>42</v>
      </c>
      <c r="F74" s="2"/>
      <c r="G74" s="2" t="s">
        <v>187</v>
      </c>
      <c r="H74" s="2" t="s">
        <v>540</v>
      </c>
      <c r="I74" s="2" t="s">
        <v>587</v>
      </c>
      <c r="J74" s="2" t="s">
        <v>588</v>
      </c>
      <c r="K74" s="2" t="s">
        <v>589</v>
      </c>
      <c r="L74" s="2" t="s">
        <v>590</v>
      </c>
      <c r="M74" s="2" t="s">
        <v>34</v>
      </c>
      <c r="N74" s="2" t="s">
        <v>591</v>
      </c>
      <c r="O74" s="2" t="s">
        <v>592</v>
      </c>
      <c r="P74" s="2" t="s">
        <v>37</v>
      </c>
      <c r="Q74" s="2" t="s">
        <v>593</v>
      </c>
    </row>
    <row r="75" customFormat="false" ht="68.65" hidden="false" customHeight="false" outlineLevel="0" collapsed="false">
      <c r="A75" s="2" t="s">
        <v>594</v>
      </c>
      <c r="B75" s="2" t="s">
        <v>585</v>
      </c>
      <c r="C75" s="2" t="s">
        <v>595</v>
      </c>
      <c r="D75" s="2" t="s">
        <v>495</v>
      </c>
      <c r="E75" s="2" t="s">
        <v>77</v>
      </c>
      <c r="F75" s="2" t="s">
        <v>585</v>
      </c>
      <c r="G75" s="2" t="s">
        <v>262</v>
      </c>
      <c r="H75" s="2" t="s">
        <v>540</v>
      </c>
      <c r="I75" s="2" t="s">
        <v>596</v>
      </c>
      <c r="J75" s="2" t="s">
        <v>597</v>
      </c>
      <c r="K75" s="2" t="s">
        <v>46</v>
      </c>
      <c r="L75" s="2" t="s">
        <v>598</v>
      </c>
      <c r="M75" s="2" t="s">
        <v>34</v>
      </c>
      <c r="N75" s="2" t="s">
        <v>599</v>
      </c>
      <c r="O75" s="2" t="s">
        <v>600</v>
      </c>
      <c r="P75" s="2" t="s">
        <v>51</v>
      </c>
      <c r="Q75" s="2"/>
    </row>
    <row r="76" customFormat="false" ht="23.85" hidden="false" customHeight="false" outlineLevel="0" collapsed="false">
      <c r="A76" s="2" t="s">
        <v>601</v>
      </c>
      <c r="B76" s="2" t="s">
        <v>585</v>
      </c>
      <c r="C76" s="2" t="s">
        <v>602</v>
      </c>
      <c r="D76" s="2" t="s">
        <v>495</v>
      </c>
      <c r="E76" s="2" t="s">
        <v>77</v>
      </c>
      <c r="F76" s="2" t="s">
        <v>585</v>
      </c>
      <c r="G76" s="2" t="s">
        <v>151</v>
      </c>
      <c r="H76" s="2" t="s">
        <v>540</v>
      </c>
      <c r="I76" s="2" t="s">
        <v>603</v>
      </c>
      <c r="J76" s="2" t="s">
        <v>604</v>
      </c>
      <c r="K76" s="2" t="s">
        <v>46</v>
      </c>
      <c r="L76" s="2" t="s">
        <v>33</v>
      </c>
      <c r="M76" s="2" t="s">
        <v>34</v>
      </c>
      <c r="N76" s="2" t="s">
        <v>605</v>
      </c>
      <c r="O76" s="2" t="s">
        <v>606</v>
      </c>
      <c r="P76" s="2" t="s">
        <v>51</v>
      </c>
      <c r="Q76" s="2"/>
    </row>
    <row r="77" customFormat="false" ht="23.85" hidden="false" customHeight="false" outlineLevel="0" collapsed="false">
      <c r="A77" s="2" t="s">
        <v>607</v>
      </c>
      <c r="B77" s="2" t="s">
        <v>585</v>
      </c>
      <c r="C77" s="2" t="s">
        <v>608</v>
      </c>
      <c r="D77" s="2" t="s">
        <v>495</v>
      </c>
      <c r="E77" s="2" t="s">
        <v>63</v>
      </c>
      <c r="F77" s="2" t="s">
        <v>585</v>
      </c>
      <c r="G77" s="2" t="s">
        <v>29</v>
      </c>
      <c r="H77" s="2" t="s">
        <v>540</v>
      </c>
      <c r="I77" s="2" t="s">
        <v>609</v>
      </c>
      <c r="J77" s="2" t="s">
        <v>610</v>
      </c>
      <c r="K77" s="2" t="s">
        <v>46</v>
      </c>
      <c r="L77" s="2" t="s">
        <v>33</v>
      </c>
      <c r="M77" s="2" t="s">
        <v>34</v>
      </c>
      <c r="N77" s="2"/>
      <c r="O77" s="2" t="s">
        <v>611</v>
      </c>
      <c r="P77" s="2" t="s">
        <v>51</v>
      </c>
      <c r="Q77" s="2"/>
    </row>
    <row r="78" customFormat="false" ht="23.85" hidden="false" customHeight="false" outlineLevel="0" collapsed="false">
      <c r="A78" s="2" t="s">
        <v>612</v>
      </c>
      <c r="B78" s="2" t="s">
        <v>613</v>
      </c>
      <c r="C78" s="2" t="s">
        <v>614</v>
      </c>
      <c r="D78" s="2" t="s">
        <v>495</v>
      </c>
      <c r="E78" s="2" t="s">
        <v>615</v>
      </c>
      <c r="F78" s="2"/>
      <c r="G78" s="2" t="s">
        <v>88</v>
      </c>
      <c r="H78" s="2" t="s">
        <v>540</v>
      </c>
      <c r="I78" s="2" t="s">
        <v>616</v>
      </c>
      <c r="J78" s="2" t="s">
        <v>91</v>
      </c>
      <c r="K78" s="2" t="s">
        <v>91</v>
      </c>
      <c r="L78" s="2" t="s">
        <v>91</v>
      </c>
      <c r="M78" s="2" t="s">
        <v>34</v>
      </c>
      <c r="N78" s="2"/>
      <c r="O78" s="2" t="s">
        <v>617</v>
      </c>
      <c r="P78" s="2" t="s">
        <v>37</v>
      </c>
      <c r="Q78" s="2" t="s">
        <v>618</v>
      </c>
    </row>
    <row r="79" customFormat="false" ht="23.85" hidden="false" customHeight="false" outlineLevel="0" collapsed="false">
      <c r="A79" s="2" t="s">
        <v>619</v>
      </c>
      <c r="B79" s="2" t="s">
        <v>620</v>
      </c>
      <c r="C79" s="2" t="s">
        <v>621</v>
      </c>
      <c r="D79" s="2" t="s">
        <v>495</v>
      </c>
      <c r="E79" s="2" t="s">
        <v>615</v>
      </c>
      <c r="F79" s="2"/>
      <c r="G79" s="2" t="s">
        <v>88</v>
      </c>
      <c r="H79" s="2" t="s">
        <v>540</v>
      </c>
      <c r="I79" s="2" t="s">
        <v>622</v>
      </c>
      <c r="J79" s="2" t="s">
        <v>91</v>
      </c>
      <c r="K79" s="2" t="s">
        <v>91</v>
      </c>
      <c r="L79" s="2" t="s">
        <v>91</v>
      </c>
      <c r="M79" s="2" t="s">
        <v>34</v>
      </c>
      <c r="N79" s="2"/>
      <c r="O79" s="2" t="s">
        <v>623</v>
      </c>
      <c r="P79" s="2" t="s">
        <v>51</v>
      </c>
      <c r="Q79" s="2"/>
    </row>
    <row r="80" customFormat="false" ht="23.85" hidden="false" customHeight="false" outlineLevel="0" collapsed="false">
      <c r="A80" s="2" t="s">
        <v>624</v>
      </c>
      <c r="B80" s="2" t="s">
        <v>625</v>
      </c>
      <c r="C80" s="2" t="s">
        <v>626</v>
      </c>
      <c r="D80" s="2" t="s">
        <v>495</v>
      </c>
      <c r="E80" s="2" t="s">
        <v>615</v>
      </c>
      <c r="F80" s="2"/>
      <c r="G80" s="2" t="s">
        <v>88</v>
      </c>
      <c r="H80" s="2" t="s">
        <v>540</v>
      </c>
      <c r="I80" s="2" t="s">
        <v>627</v>
      </c>
      <c r="J80" s="2" t="s">
        <v>91</v>
      </c>
      <c r="K80" s="2" t="s">
        <v>91</v>
      </c>
      <c r="L80" s="2" t="s">
        <v>91</v>
      </c>
      <c r="M80" s="2" t="s">
        <v>34</v>
      </c>
      <c r="N80" s="2"/>
      <c r="O80" s="2" t="s">
        <v>628</v>
      </c>
      <c r="P80" s="2" t="s">
        <v>51</v>
      </c>
      <c r="Q80" s="2"/>
    </row>
    <row r="81" customFormat="false" ht="23.85" hidden="false" customHeight="false" outlineLevel="0" collapsed="false">
      <c r="A81" s="2" t="s">
        <v>629</v>
      </c>
      <c r="B81" s="2" t="s">
        <v>630</v>
      </c>
      <c r="C81" s="2" t="s">
        <v>631</v>
      </c>
      <c r="D81" s="2" t="s">
        <v>495</v>
      </c>
      <c r="E81" s="2" t="s">
        <v>615</v>
      </c>
      <c r="F81" s="2"/>
      <c r="G81" s="2" t="s">
        <v>88</v>
      </c>
      <c r="H81" s="2" t="s">
        <v>540</v>
      </c>
      <c r="I81" s="2" t="s">
        <v>632</v>
      </c>
      <c r="J81" s="2" t="s">
        <v>91</v>
      </c>
      <c r="K81" s="2" t="s">
        <v>91</v>
      </c>
      <c r="L81" s="2" t="s">
        <v>91</v>
      </c>
      <c r="M81" s="2" t="s">
        <v>34</v>
      </c>
      <c r="N81" s="2"/>
      <c r="O81" s="2" t="s">
        <v>633</v>
      </c>
      <c r="P81" s="2" t="s">
        <v>51</v>
      </c>
      <c r="Q81" s="2"/>
    </row>
    <row r="82" customFormat="false" ht="35.05" hidden="false" customHeight="false" outlineLevel="0" collapsed="false">
      <c r="A82" s="2" t="s">
        <v>634</v>
      </c>
      <c r="B82" s="2" t="s">
        <v>635</v>
      </c>
      <c r="C82" s="2" t="s">
        <v>636</v>
      </c>
      <c r="D82" s="2" t="s">
        <v>495</v>
      </c>
      <c r="E82" s="2" t="s">
        <v>87</v>
      </c>
      <c r="F82" s="2"/>
      <c r="G82" s="2" t="s">
        <v>88</v>
      </c>
      <c r="H82" s="2" t="s">
        <v>98</v>
      </c>
      <c r="I82" s="2" t="s">
        <v>637</v>
      </c>
      <c r="J82" s="2" t="s">
        <v>638</v>
      </c>
      <c r="K82" s="2" t="s">
        <v>91</v>
      </c>
      <c r="L82" s="2" t="s">
        <v>91</v>
      </c>
      <c r="M82" s="2" t="s">
        <v>34</v>
      </c>
      <c r="N82" s="2" t="s">
        <v>639</v>
      </c>
      <c r="O82" s="2" t="s">
        <v>640</v>
      </c>
      <c r="P82" s="2" t="s">
        <v>51</v>
      </c>
      <c r="Q82" s="2"/>
    </row>
    <row r="83" customFormat="false" ht="147" hidden="false" customHeight="false" outlineLevel="0" collapsed="false">
      <c r="A83" s="2" t="s">
        <v>641</v>
      </c>
      <c r="B83" s="2" t="s">
        <v>642</v>
      </c>
      <c r="C83" s="2" t="s">
        <v>643</v>
      </c>
      <c r="D83" s="2" t="s">
        <v>495</v>
      </c>
      <c r="E83" s="2" t="s">
        <v>42</v>
      </c>
      <c r="F83" s="2"/>
      <c r="G83" s="2" t="s">
        <v>226</v>
      </c>
      <c r="H83" s="2" t="s">
        <v>98</v>
      </c>
      <c r="I83" s="2" t="s">
        <v>644</v>
      </c>
      <c r="J83" s="2" t="s">
        <v>645</v>
      </c>
      <c r="K83" s="2" t="s">
        <v>646</v>
      </c>
      <c r="L83" s="2" t="s">
        <v>647</v>
      </c>
      <c r="M83" s="2" t="s">
        <v>648</v>
      </c>
      <c r="N83" s="2" t="s">
        <v>649</v>
      </c>
      <c r="O83" s="2" t="s">
        <v>650</v>
      </c>
      <c r="P83" s="2" t="s">
        <v>37</v>
      </c>
      <c r="Q83" s="2" t="s">
        <v>651</v>
      </c>
    </row>
    <row r="84" customFormat="false" ht="35.05" hidden="false" customHeight="false" outlineLevel="0" collapsed="false">
      <c r="A84" s="2" t="s">
        <v>652</v>
      </c>
      <c r="B84" s="2" t="s">
        <v>642</v>
      </c>
      <c r="C84" s="2" t="s">
        <v>653</v>
      </c>
      <c r="D84" s="2" t="s">
        <v>495</v>
      </c>
      <c r="E84" s="2" t="s">
        <v>77</v>
      </c>
      <c r="F84" s="2" t="s">
        <v>642</v>
      </c>
      <c r="G84" s="2" t="s">
        <v>226</v>
      </c>
      <c r="H84" s="2" t="s">
        <v>98</v>
      </c>
      <c r="I84" s="2" t="s">
        <v>654</v>
      </c>
      <c r="J84" s="2" t="s">
        <v>655</v>
      </c>
      <c r="K84" s="2" t="s">
        <v>46</v>
      </c>
      <c r="L84" s="2" t="s">
        <v>656</v>
      </c>
      <c r="M84" s="2" t="s">
        <v>34</v>
      </c>
      <c r="N84" s="2" t="s">
        <v>657</v>
      </c>
      <c r="O84" s="2" t="s">
        <v>658</v>
      </c>
      <c r="P84" s="2" t="s">
        <v>51</v>
      </c>
      <c r="Q84" s="2"/>
    </row>
    <row r="85" customFormat="false" ht="23.85" hidden="false" customHeight="false" outlineLevel="0" collapsed="false">
      <c r="A85" s="2" t="s">
        <v>659</v>
      </c>
      <c r="B85" s="2" t="s">
        <v>642</v>
      </c>
      <c r="C85" s="2" t="s">
        <v>660</v>
      </c>
      <c r="D85" s="2" t="s">
        <v>495</v>
      </c>
      <c r="E85" s="2" t="s">
        <v>28</v>
      </c>
      <c r="F85" s="2" t="s">
        <v>642</v>
      </c>
      <c r="G85" s="2" t="s">
        <v>29</v>
      </c>
      <c r="H85" s="2" t="s">
        <v>98</v>
      </c>
      <c r="I85" s="2" t="s">
        <v>661</v>
      </c>
      <c r="J85" s="2" t="s">
        <v>662</v>
      </c>
      <c r="K85" s="2" t="s">
        <v>46</v>
      </c>
      <c r="L85" s="2" t="s">
        <v>663</v>
      </c>
      <c r="M85" s="2" t="s">
        <v>34</v>
      </c>
      <c r="N85" s="2" t="s">
        <v>664</v>
      </c>
      <c r="O85" s="2" t="s">
        <v>665</v>
      </c>
      <c r="P85" s="2" t="s">
        <v>51</v>
      </c>
      <c r="Q85" s="2"/>
    </row>
    <row r="86" customFormat="false" ht="23.85" hidden="false" customHeight="false" outlineLevel="0" collapsed="false">
      <c r="A86" s="2" t="s">
        <v>666</v>
      </c>
      <c r="B86" s="2" t="s">
        <v>642</v>
      </c>
      <c r="C86" s="2" t="s">
        <v>667</v>
      </c>
      <c r="D86" s="2" t="s">
        <v>495</v>
      </c>
      <c r="E86" s="2" t="s">
        <v>28</v>
      </c>
      <c r="F86" s="2" t="s">
        <v>642</v>
      </c>
      <c r="G86" s="2" t="s">
        <v>226</v>
      </c>
      <c r="H86" s="2" t="s">
        <v>98</v>
      </c>
      <c r="I86" s="2" t="s">
        <v>668</v>
      </c>
      <c r="J86" s="2" t="s">
        <v>669</v>
      </c>
      <c r="K86" s="2" t="s">
        <v>46</v>
      </c>
      <c r="L86" s="2" t="s">
        <v>670</v>
      </c>
      <c r="M86" s="2" t="s">
        <v>34</v>
      </c>
      <c r="N86" s="2" t="s">
        <v>671</v>
      </c>
      <c r="O86" s="2" t="s">
        <v>672</v>
      </c>
      <c r="P86" s="2" t="s">
        <v>51</v>
      </c>
      <c r="Q86" s="2"/>
    </row>
    <row r="87" customFormat="false" ht="68.65" hidden="false" customHeight="false" outlineLevel="0" collapsed="false">
      <c r="A87" s="2" t="s">
        <v>673</v>
      </c>
      <c r="B87" s="2" t="s">
        <v>674</v>
      </c>
      <c r="C87" s="2" t="s">
        <v>675</v>
      </c>
      <c r="D87" s="2" t="s">
        <v>495</v>
      </c>
      <c r="E87" s="2" t="s">
        <v>42</v>
      </c>
      <c r="F87" s="2"/>
      <c r="G87" s="2" t="s">
        <v>226</v>
      </c>
      <c r="H87" s="2" t="s">
        <v>98</v>
      </c>
      <c r="I87" s="2" t="s">
        <v>676</v>
      </c>
      <c r="J87" s="2" t="s">
        <v>677</v>
      </c>
      <c r="K87" s="2" t="s">
        <v>678</v>
      </c>
      <c r="L87" s="2" t="s">
        <v>679</v>
      </c>
      <c r="M87" s="2" t="s">
        <v>34</v>
      </c>
      <c r="N87" s="2" t="s">
        <v>680</v>
      </c>
      <c r="O87" s="2" t="s">
        <v>681</v>
      </c>
      <c r="P87" s="2" t="s">
        <v>37</v>
      </c>
      <c r="Q87" s="2" t="s">
        <v>682</v>
      </c>
    </row>
    <row r="88" customFormat="false" ht="23.85" hidden="false" customHeight="false" outlineLevel="0" collapsed="false">
      <c r="A88" s="2" t="s">
        <v>683</v>
      </c>
      <c r="B88" s="2" t="s">
        <v>674</v>
      </c>
      <c r="C88" s="2" t="s">
        <v>684</v>
      </c>
      <c r="D88" s="2" t="s">
        <v>495</v>
      </c>
      <c r="E88" s="2" t="s">
        <v>77</v>
      </c>
      <c r="F88" s="2" t="s">
        <v>674</v>
      </c>
      <c r="G88" s="2" t="s">
        <v>226</v>
      </c>
      <c r="H88" s="2" t="s">
        <v>98</v>
      </c>
      <c r="I88" s="2" t="s">
        <v>685</v>
      </c>
      <c r="J88" s="2" t="s">
        <v>686</v>
      </c>
      <c r="K88" s="2" t="s">
        <v>46</v>
      </c>
      <c r="L88" s="2" t="s">
        <v>670</v>
      </c>
      <c r="M88" s="2" t="s">
        <v>34</v>
      </c>
      <c r="N88" s="2" t="s">
        <v>687</v>
      </c>
      <c r="O88" s="2" t="s">
        <v>688</v>
      </c>
      <c r="P88" s="2" t="s">
        <v>51</v>
      </c>
      <c r="Q88" s="2"/>
    </row>
    <row r="89" customFormat="false" ht="23.85" hidden="false" customHeight="false" outlineLevel="0" collapsed="false">
      <c r="A89" s="2" t="s">
        <v>689</v>
      </c>
      <c r="B89" s="2" t="s">
        <v>674</v>
      </c>
      <c r="C89" s="2" t="s">
        <v>690</v>
      </c>
      <c r="D89" s="2" t="s">
        <v>495</v>
      </c>
      <c r="E89" s="2" t="s">
        <v>77</v>
      </c>
      <c r="F89" s="2" t="s">
        <v>674</v>
      </c>
      <c r="G89" s="2" t="s">
        <v>226</v>
      </c>
      <c r="H89" s="2" t="s">
        <v>98</v>
      </c>
      <c r="I89" s="2" t="s">
        <v>691</v>
      </c>
      <c r="J89" s="2" t="s">
        <v>692</v>
      </c>
      <c r="K89" s="2" t="s">
        <v>46</v>
      </c>
      <c r="L89" s="2" t="s">
        <v>670</v>
      </c>
      <c r="M89" s="2" t="s">
        <v>34</v>
      </c>
      <c r="N89" s="2" t="s">
        <v>693</v>
      </c>
      <c r="O89" s="2" t="s">
        <v>694</v>
      </c>
      <c r="P89" s="2" t="s">
        <v>51</v>
      </c>
      <c r="Q89" s="2"/>
    </row>
    <row r="90" customFormat="false" ht="35.05" hidden="false" customHeight="false" outlineLevel="0" collapsed="false">
      <c r="A90" s="2" t="s">
        <v>695</v>
      </c>
      <c r="B90" s="2" t="s">
        <v>674</v>
      </c>
      <c r="C90" s="2" t="s">
        <v>696</v>
      </c>
      <c r="D90" s="2" t="s">
        <v>495</v>
      </c>
      <c r="E90" s="2" t="s">
        <v>697</v>
      </c>
      <c r="F90" s="2" t="s">
        <v>674</v>
      </c>
      <c r="G90" s="2" t="s">
        <v>226</v>
      </c>
      <c r="H90" s="2" t="s">
        <v>98</v>
      </c>
      <c r="I90" s="2" t="s">
        <v>698</v>
      </c>
      <c r="J90" s="2" t="s">
        <v>699</v>
      </c>
      <c r="K90" s="2" t="s">
        <v>46</v>
      </c>
      <c r="L90" s="2" t="s">
        <v>670</v>
      </c>
      <c r="M90" s="2" t="s">
        <v>34</v>
      </c>
      <c r="N90" s="2" t="s">
        <v>700</v>
      </c>
      <c r="O90" s="2" t="s">
        <v>701</v>
      </c>
      <c r="P90" s="2" t="s">
        <v>51</v>
      </c>
      <c r="Q90" s="2"/>
    </row>
    <row r="91" customFormat="false" ht="35.05" hidden="false" customHeight="false" outlineLevel="0" collapsed="false">
      <c r="A91" s="2" t="s">
        <v>702</v>
      </c>
      <c r="B91" s="2" t="s">
        <v>674</v>
      </c>
      <c r="C91" s="2" t="s">
        <v>703</v>
      </c>
      <c r="D91" s="2" t="s">
        <v>495</v>
      </c>
      <c r="E91" s="2" t="s">
        <v>697</v>
      </c>
      <c r="F91" s="2" t="s">
        <v>674</v>
      </c>
      <c r="G91" s="2" t="s">
        <v>226</v>
      </c>
      <c r="H91" s="2" t="s">
        <v>98</v>
      </c>
      <c r="I91" s="2" t="s">
        <v>704</v>
      </c>
      <c r="J91" s="2" t="s">
        <v>705</v>
      </c>
      <c r="K91" s="2" t="s">
        <v>46</v>
      </c>
      <c r="L91" s="2" t="s">
        <v>670</v>
      </c>
      <c r="M91" s="2" t="s">
        <v>34</v>
      </c>
      <c r="N91" s="2" t="s">
        <v>706</v>
      </c>
      <c r="O91" s="2" t="s">
        <v>701</v>
      </c>
      <c r="P91" s="2" t="s">
        <v>51</v>
      </c>
      <c r="Q91" s="2"/>
    </row>
    <row r="92" customFormat="false" ht="23.85" hidden="false" customHeight="false" outlineLevel="0" collapsed="false">
      <c r="A92" s="2" t="s">
        <v>707</v>
      </c>
      <c r="B92" s="2" t="s">
        <v>708</v>
      </c>
      <c r="C92" s="2" t="s">
        <v>709</v>
      </c>
      <c r="D92" s="2" t="s">
        <v>495</v>
      </c>
      <c r="E92" s="2" t="s">
        <v>87</v>
      </c>
      <c r="F92" s="2"/>
      <c r="G92" s="2" t="s">
        <v>88</v>
      </c>
      <c r="H92" s="2" t="s">
        <v>98</v>
      </c>
      <c r="I92" s="2" t="s">
        <v>710</v>
      </c>
      <c r="J92" s="2" t="s">
        <v>711</v>
      </c>
      <c r="K92" s="2" t="s">
        <v>91</v>
      </c>
      <c r="L92" s="2" t="s">
        <v>91</v>
      </c>
      <c r="M92" s="2" t="s">
        <v>34</v>
      </c>
      <c r="N92" s="2"/>
      <c r="O92" s="2" t="s">
        <v>712</v>
      </c>
      <c r="P92" s="2" t="s">
        <v>37</v>
      </c>
      <c r="Q92" s="2" t="s">
        <v>713</v>
      </c>
    </row>
    <row r="93" customFormat="false" ht="23.85" hidden="false" customHeight="false" outlineLevel="0" collapsed="false">
      <c r="A93" s="2" t="s">
        <v>714</v>
      </c>
      <c r="B93" s="2" t="s">
        <v>715</v>
      </c>
      <c r="C93" s="2" t="s">
        <v>716</v>
      </c>
      <c r="D93" s="2" t="s">
        <v>495</v>
      </c>
      <c r="E93" s="2" t="s">
        <v>87</v>
      </c>
      <c r="F93" s="2"/>
      <c r="G93" s="2" t="s">
        <v>88</v>
      </c>
      <c r="H93" s="2" t="s">
        <v>30</v>
      </c>
      <c r="I93" s="2" t="s">
        <v>717</v>
      </c>
      <c r="J93" s="2" t="s">
        <v>91</v>
      </c>
      <c r="K93" s="2" t="s">
        <v>91</v>
      </c>
      <c r="L93" s="2" t="s">
        <v>91</v>
      </c>
      <c r="M93" s="2"/>
      <c r="N93" s="2"/>
      <c r="O93" s="2" t="s">
        <v>718</v>
      </c>
      <c r="P93" s="2" t="s">
        <v>51</v>
      </c>
      <c r="Q93" s="2"/>
    </row>
    <row r="94" customFormat="false" ht="23.85" hidden="false" customHeight="false" outlineLevel="0" collapsed="false">
      <c r="A94" s="2" t="s">
        <v>719</v>
      </c>
      <c r="B94" s="2" t="s">
        <v>720</v>
      </c>
      <c r="C94" s="2" t="s">
        <v>721</v>
      </c>
      <c r="D94" s="2" t="s">
        <v>495</v>
      </c>
      <c r="E94" s="2" t="s">
        <v>42</v>
      </c>
      <c r="F94" s="2"/>
      <c r="G94" s="2" t="s">
        <v>421</v>
      </c>
      <c r="H94" s="2" t="s">
        <v>540</v>
      </c>
      <c r="I94" s="2" t="s">
        <v>722</v>
      </c>
      <c r="J94" s="2" t="s">
        <v>723</v>
      </c>
      <c r="K94" s="2" t="s">
        <v>46</v>
      </c>
      <c r="L94" s="2" t="s">
        <v>724</v>
      </c>
      <c r="M94" s="2" t="s">
        <v>34</v>
      </c>
      <c r="N94" s="2" t="s">
        <v>725</v>
      </c>
      <c r="O94" s="2" t="s">
        <v>726</v>
      </c>
      <c r="P94" s="2" t="s">
        <v>37</v>
      </c>
      <c r="Q94" s="2" t="s">
        <v>727</v>
      </c>
    </row>
    <row r="95" customFormat="false" ht="23.85" hidden="false" customHeight="false" outlineLevel="0" collapsed="false">
      <c r="A95" s="2" t="s">
        <v>728</v>
      </c>
      <c r="B95" s="2" t="s">
        <v>729</v>
      </c>
      <c r="C95" s="2" t="s">
        <v>730</v>
      </c>
      <c r="D95" s="2" t="s">
        <v>495</v>
      </c>
      <c r="E95" s="2" t="s">
        <v>42</v>
      </c>
      <c r="F95" s="2"/>
      <c r="G95" s="2" t="s">
        <v>421</v>
      </c>
      <c r="H95" s="2" t="s">
        <v>540</v>
      </c>
      <c r="I95" s="2" t="s">
        <v>731</v>
      </c>
      <c r="J95" s="2" t="s">
        <v>732</v>
      </c>
      <c r="K95" s="2" t="s">
        <v>46</v>
      </c>
      <c r="L95" s="2" t="s">
        <v>580</v>
      </c>
      <c r="M95" s="2" t="s">
        <v>34</v>
      </c>
      <c r="N95" s="2" t="s">
        <v>733</v>
      </c>
      <c r="O95" s="2" t="s">
        <v>734</v>
      </c>
      <c r="P95" s="2" t="s">
        <v>37</v>
      </c>
      <c r="Q95" s="2" t="s">
        <v>583</v>
      </c>
    </row>
    <row r="96" customFormat="false" ht="102.2" hidden="false" customHeight="false" outlineLevel="0" collapsed="false">
      <c r="A96" s="2" t="s">
        <v>735</v>
      </c>
      <c r="B96" s="2" t="s">
        <v>217</v>
      </c>
      <c r="C96" s="2" t="s">
        <v>736</v>
      </c>
      <c r="D96" s="2" t="s">
        <v>495</v>
      </c>
      <c r="E96" s="2" t="s">
        <v>186</v>
      </c>
      <c r="F96" s="2" t="s">
        <v>217</v>
      </c>
      <c r="G96" s="2" t="s">
        <v>226</v>
      </c>
      <c r="H96" s="2" t="s">
        <v>98</v>
      </c>
      <c r="I96" s="2" t="s">
        <v>737</v>
      </c>
      <c r="J96" s="2" t="s">
        <v>738</v>
      </c>
      <c r="K96" s="2" t="s">
        <v>739</v>
      </c>
      <c r="L96" s="2" t="s">
        <v>740</v>
      </c>
      <c r="M96" s="2" t="s">
        <v>48</v>
      </c>
      <c r="N96" s="2" t="s">
        <v>741</v>
      </c>
      <c r="O96" s="2" t="s">
        <v>742</v>
      </c>
      <c r="P96" s="2" t="s">
        <v>51</v>
      </c>
      <c r="Q96" s="2"/>
    </row>
    <row r="97" customFormat="false" ht="23.85" hidden="false" customHeight="false" outlineLevel="0" collapsed="false">
      <c r="A97" s="2" t="s">
        <v>743</v>
      </c>
      <c r="B97" s="2" t="s">
        <v>217</v>
      </c>
      <c r="C97" s="2" t="s">
        <v>744</v>
      </c>
      <c r="D97" s="2" t="s">
        <v>495</v>
      </c>
      <c r="E97" s="2" t="s">
        <v>87</v>
      </c>
      <c r="F97" s="2"/>
      <c r="G97" s="2" t="s">
        <v>88</v>
      </c>
      <c r="H97" s="2" t="s">
        <v>30</v>
      </c>
      <c r="I97" s="2" t="s">
        <v>745</v>
      </c>
      <c r="J97" s="2" t="s">
        <v>91</v>
      </c>
      <c r="K97" s="2" t="s">
        <v>91</v>
      </c>
      <c r="L97" s="2" t="s">
        <v>91</v>
      </c>
      <c r="M97" s="2"/>
      <c r="N97" s="2"/>
      <c r="O97" s="2" t="s">
        <v>718</v>
      </c>
      <c r="P97" s="2" t="s">
        <v>37</v>
      </c>
      <c r="Q97" s="2" t="s">
        <v>746</v>
      </c>
    </row>
    <row r="98" customFormat="false" ht="102.2" hidden="false" customHeight="false" outlineLevel="0" collapsed="false">
      <c r="A98" s="2" t="s">
        <v>747</v>
      </c>
      <c r="B98" s="2" t="s">
        <v>748</v>
      </c>
      <c r="C98" s="2" t="s">
        <v>749</v>
      </c>
      <c r="D98" s="2" t="s">
        <v>495</v>
      </c>
      <c r="E98" s="2" t="s">
        <v>42</v>
      </c>
      <c r="F98" s="2"/>
      <c r="G98" s="2" t="s">
        <v>750</v>
      </c>
      <c r="H98" s="2" t="s">
        <v>300</v>
      </c>
      <c r="I98" s="2" t="s">
        <v>751</v>
      </c>
      <c r="J98" s="2" t="s">
        <v>752</v>
      </c>
      <c r="K98" s="2" t="s">
        <v>753</v>
      </c>
      <c r="L98" s="2" t="s">
        <v>754</v>
      </c>
      <c r="M98" s="2" t="s">
        <v>34</v>
      </c>
      <c r="N98" s="2" t="s">
        <v>755</v>
      </c>
      <c r="O98" s="2" t="s">
        <v>756</v>
      </c>
      <c r="P98" s="2" t="s">
        <v>51</v>
      </c>
      <c r="Q98" s="2"/>
    </row>
    <row r="99" customFormat="false" ht="23.85" hidden="false" customHeight="false" outlineLevel="0" collapsed="false">
      <c r="A99" s="2" t="s">
        <v>757</v>
      </c>
      <c r="B99" s="2" t="s">
        <v>748</v>
      </c>
      <c r="C99" s="2" t="s">
        <v>758</v>
      </c>
      <c r="D99" s="2" t="s">
        <v>495</v>
      </c>
      <c r="E99" s="2" t="s">
        <v>77</v>
      </c>
      <c r="F99" s="2" t="s">
        <v>748</v>
      </c>
      <c r="G99" s="2" t="s">
        <v>750</v>
      </c>
      <c r="H99" s="2" t="s">
        <v>300</v>
      </c>
      <c r="I99" s="2" t="s">
        <v>759</v>
      </c>
      <c r="J99" s="2" t="s">
        <v>760</v>
      </c>
      <c r="K99" s="2" t="s">
        <v>46</v>
      </c>
      <c r="L99" s="2" t="s">
        <v>33</v>
      </c>
      <c r="M99" s="2" t="s">
        <v>34</v>
      </c>
      <c r="N99" s="2" t="s">
        <v>761</v>
      </c>
      <c r="O99" s="2" t="s">
        <v>762</v>
      </c>
      <c r="P99" s="2" t="s">
        <v>51</v>
      </c>
      <c r="Q99" s="2"/>
    </row>
    <row r="100" customFormat="false" ht="23.85" hidden="false" customHeight="false" outlineLevel="0" collapsed="false">
      <c r="A100" s="2" t="s">
        <v>763</v>
      </c>
      <c r="B100" s="2" t="s">
        <v>748</v>
      </c>
      <c r="C100" s="2" t="s">
        <v>764</v>
      </c>
      <c r="D100" s="2" t="s">
        <v>495</v>
      </c>
      <c r="E100" s="2" t="s">
        <v>77</v>
      </c>
      <c r="F100" s="2" t="s">
        <v>748</v>
      </c>
      <c r="G100" s="2" t="s">
        <v>29</v>
      </c>
      <c r="H100" s="2" t="s">
        <v>300</v>
      </c>
      <c r="I100" s="2" t="s">
        <v>765</v>
      </c>
      <c r="J100" s="2" t="s">
        <v>766</v>
      </c>
      <c r="K100" s="2" t="s">
        <v>46</v>
      </c>
      <c r="L100" s="2" t="s">
        <v>33</v>
      </c>
      <c r="M100" s="2" t="s">
        <v>34</v>
      </c>
      <c r="N100" s="2" t="s">
        <v>767</v>
      </c>
      <c r="O100" s="2" t="s">
        <v>768</v>
      </c>
      <c r="P100" s="2" t="s">
        <v>51</v>
      </c>
      <c r="Q100" s="2"/>
    </row>
    <row r="101" customFormat="false" ht="23.85" hidden="false" customHeight="false" outlineLevel="0" collapsed="false">
      <c r="A101" s="2" t="s">
        <v>769</v>
      </c>
      <c r="B101" s="2" t="s">
        <v>748</v>
      </c>
      <c r="C101" s="2" t="s">
        <v>770</v>
      </c>
      <c r="D101" s="2" t="s">
        <v>495</v>
      </c>
      <c r="E101" s="2" t="s">
        <v>28</v>
      </c>
      <c r="F101" s="2" t="s">
        <v>748</v>
      </c>
      <c r="G101" s="2" t="s">
        <v>29</v>
      </c>
      <c r="H101" s="2" t="s">
        <v>30</v>
      </c>
      <c r="I101" s="2" t="s">
        <v>771</v>
      </c>
      <c r="J101" s="2" t="s">
        <v>772</v>
      </c>
      <c r="K101" s="2" t="s">
        <v>91</v>
      </c>
      <c r="L101" s="2" t="s">
        <v>91</v>
      </c>
      <c r="M101" s="2" t="s">
        <v>34</v>
      </c>
      <c r="N101" s="2" t="s">
        <v>773</v>
      </c>
      <c r="O101" s="2" t="s">
        <v>774</v>
      </c>
      <c r="P101" s="2" t="s">
        <v>51</v>
      </c>
      <c r="Q101" s="2"/>
    </row>
    <row r="102" customFormat="false" ht="23.85" hidden="false" customHeight="false" outlineLevel="0" collapsed="false">
      <c r="A102" s="2" t="s">
        <v>775</v>
      </c>
      <c r="B102" s="2" t="s">
        <v>776</v>
      </c>
      <c r="C102" s="2" t="s">
        <v>777</v>
      </c>
      <c r="D102" s="2" t="s">
        <v>495</v>
      </c>
      <c r="E102" s="2" t="s">
        <v>87</v>
      </c>
      <c r="F102" s="2"/>
      <c r="G102" s="2" t="s">
        <v>88</v>
      </c>
      <c r="H102" s="2" t="s">
        <v>300</v>
      </c>
      <c r="I102" s="2" t="s">
        <v>778</v>
      </c>
      <c r="J102" s="2" t="s">
        <v>779</v>
      </c>
      <c r="K102" s="2" t="s">
        <v>91</v>
      </c>
      <c r="L102" s="2" t="s">
        <v>91</v>
      </c>
      <c r="M102" s="2" t="s">
        <v>34</v>
      </c>
      <c r="N102" s="2"/>
      <c r="O102" s="2" t="s">
        <v>780</v>
      </c>
      <c r="P102" s="2" t="s">
        <v>37</v>
      </c>
      <c r="Q102" s="2" t="s">
        <v>781</v>
      </c>
    </row>
    <row r="103" customFormat="false" ht="23.85" hidden="false" customHeight="false" outlineLevel="0" collapsed="false">
      <c r="A103" s="2" t="s">
        <v>782</v>
      </c>
      <c r="B103" s="2" t="s">
        <v>783</v>
      </c>
      <c r="C103" s="2" t="s">
        <v>784</v>
      </c>
      <c r="D103" s="2" t="s">
        <v>495</v>
      </c>
      <c r="E103" s="2" t="s">
        <v>87</v>
      </c>
      <c r="F103" s="2"/>
      <c r="G103" s="2" t="s">
        <v>88</v>
      </c>
      <c r="H103" s="2" t="s">
        <v>30</v>
      </c>
      <c r="I103" s="2" t="s">
        <v>785</v>
      </c>
      <c r="J103" s="2" t="s">
        <v>91</v>
      </c>
      <c r="K103" s="2" t="s">
        <v>91</v>
      </c>
      <c r="L103" s="2" t="s">
        <v>91</v>
      </c>
      <c r="M103" s="2"/>
      <c r="N103" s="2"/>
      <c r="O103" s="2" t="s">
        <v>718</v>
      </c>
      <c r="P103" s="2" t="s">
        <v>51</v>
      </c>
      <c r="Q103" s="2"/>
    </row>
    <row r="104" customFormat="false" ht="91" hidden="false" customHeight="false" outlineLevel="0" collapsed="false">
      <c r="A104" s="2" t="s">
        <v>786</v>
      </c>
      <c r="B104" s="2" t="s">
        <v>787</v>
      </c>
      <c r="C104" s="2" t="s">
        <v>788</v>
      </c>
      <c r="D104" s="2" t="s">
        <v>495</v>
      </c>
      <c r="E104" s="2" t="s">
        <v>697</v>
      </c>
      <c r="F104" s="2" t="s">
        <v>787</v>
      </c>
      <c r="G104" s="2" t="s">
        <v>151</v>
      </c>
      <c r="H104" s="2" t="s">
        <v>161</v>
      </c>
      <c r="I104" s="2" t="s">
        <v>789</v>
      </c>
      <c r="J104" s="2" t="s">
        <v>790</v>
      </c>
      <c r="K104" s="2" t="s">
        <v>791</v>
      </c>
      <c r="L104" s="2" t="s">
        <v>792</v>
      </c>
      <c r="M104" s="2" t="s">
        <v>34</v>
      </c>
      <c r="N104" s="2" t="s">
        <v>793</v>
      </c>
      <c r="O104" s="2" t="s">
        <v>794</v>
      </c>
      <c r="P104" s="2" t="s">
        <v>51</v>
      </c>
      <c r="Q104" s="2"/>
    </row>
    <row r="105" customFormat="false" ht="91" hidden="false" customHeight="false" outlineLevel="0" collapsed="false">
      <c r="A105" s="2" t="s">
        <v>795</v>
      </c>
      <c r="B105" s="2" t="s">
        <v>787</v>
      </c>
      <c r="C105" s="2" t="s">
        <v>796</v>
      </c>
      <c r="D105" s="2" t="s">
        <v>495</v>
      </c>
      <c r="E105" s="2" t="s">
        <v>697</v>
      </c>
      <c r="F105" s="2" t="s">
        <v>787</v>
      </c>
      <c r="G105" s="2" t="s">
        <v>151</v>
      </c>
      <c r="H105" s="2" t="s">
        <v>161</v>
      </c>
      <c r="I105" s="2" t="s">
        <v>797</v>
      </c>
      <c r="J105" s="2" t="s">
        <v>798</v>
      </c>
      <c r="K105" s="2" t="s">
        <v>799</v>
      </c>
      <c r="L105" s="2" t="s">
        <v>800</v>
      </c>
      <c r="M105" s="2" t="s">
        <v>34</v>
      </c>
      <c r="N105" s="2" t="s">
        <v>801</v>
      </c>
      <c r="O105" s="2" t="s">
        <v>802</v>
      </c>
      <c r="P105" s="2" t="s">
        <v>51</v>
      </c>
      <c r="Q105" s="2"/>
    </row>
    <row r="106" customFormat="false" ht="23.85" hidden="false" customHeight="false" outlineLevel="0" collapsed="false">
      <c r="A106" s="2" t="s">
        <v>803</v>
      </c>
      <c r="B106" s="2" t="s">
        <v>787</v>
      </c>
      <c r="C106" s="2" t="s">
        <v>804</v>
      </c>
      <c r="D106" s="2" t="s">
        <v>495</v>
      </c>
      <c r="E106" s="2" t="s">
        <v>186</v>
      </c>
      <c r="F106" s="2" t="s">
        <v>787</v>
      </c>
      <c r="G106" s="2" t="s">
        <v>151</v>
      </c>
      <c r="H106" s="2" t="s">
        <v>161</v>
      </c>
      <c r="I106" s="2" t="s">
        <v>805</v>
      </c>
      <c r="J106" s="2" t="s">
        <v>806</v>
      </c>
      <c r="K106" s="2" t="s">
        <v>807</v>
      </c>
      <c r="L106" s="2" t="s">
        <v>808</v>
      </c>
      <c r="M106" s="2" t="s">
        <v>48</v>
      </c>
      <c r="N106" s="2" t="s">
        <v>809</v>
      </c>
      <c r="O106" s="2" t="s">
        <v>810</v>
      </c>
      <c r="P106" s="2" t="s">
        <v>51</v>
      </c>
      <c r="Q106" s="2"/>
    </row>
    <row r="107" customFormat="false" ht="23.85" hidden="false" customHeight="false" outlineLevel="0" collapsed="false">
      <c r="A107" s="2" t="s">
        <v>811</v>
      </c>
      <c r="B107" s="2" t="s">
        <v>787</v>
      </c>
      <c r="C107" s="2" t="s">
        <v>812</v>
      </c>
      <c r="D107" s="2" t="s">
        <v>495</v>
      </c>
      <c r="E107" s="2" t="s">
        <v>28</v>
      </c>
      <c r="F107" s="2" t="s">
        <v>787</v>
      </c>
      <c r="G107" s="2" t="s">
        <v>151</v>
      </c>
      <c r="H107" s="2" t="s">
        <v>161</v>
      </c>
      <c r="I107" s="2" t="s">
        <v>813</v>
      </c>
      <c r="J107" s="2" t="s">
        <v>814</v>
      </c>
      <c r="K107" s="2" t="s">
        <v>46</v>
      </c>
      <c r="L107" s="2" t="s">
        <v>33</v>
      </c>
      <c r="M107" s="2" t="s">
        <v>34</v>
      </c>
      <c r="N107" s="2" t="s">
        <v>815</v>
      </c>
      <c r="O107" s="2" t="s">
        <v>816</v>
      </c>
      <c r="P107" s="2" t="s">
        <v>51</v>
      </c>
      <c r="Q107" s="2"/>
    </row>
    <row r="108" customFormat="false" ht="23.85" hidden="false" customHeight="false" outlineLevel="0" collapsed="false">
      <c r="A108" s="2" t="s">
        <v>817</v>
      </c>
      <c r="B108" s="2" t="s">
        <v>787</v>
      </c>
      <c r="C108" s="2" t="s">
        <v>818</v>
      </c>
      <c r="D108" s="2" t="s">
        <v>495</v>
      </c>
      <c r="E108" s="2" t="s">
        <v>28</v>
      </c>
      <c r="F108" s="2" t="s">
        <v>787</v>
      </c>
      <c r="G108" s="2" t="s">
        <v>29</v>
      </c>
      <c r="H108" s="2" t="s">
        <v>161</v>
      </c>
      <c r="I108" s="2" t="s">
        <v>819</v>
      </c>
      <c r="J108" s="2" t="s">
        <v>820</v>
      </c>
      <c r="K108" s="2" t="s">
        <v>46</v>
      </c>
      <c r="L108" s="2" t="s">
        <v>33</v>
      </c>
      <c r="M108" s="2" t="s">
        <v>34</v>
      </c>
      <c r="N108" s="2" t="s">
        <v>821</v>
      </c>
      <c r="O108" s="2" t="s">
        <v>822</v>
      </c>
      <c r="P108" s="2" t="s">
        <v>51</v>
      </c>
      <c r="Q108" s="2"/>
    </row>
    <row r="109" customFormat="false" ht="35.05" hidden="false" customHeight="false" outlineLevel="0" collapsed="false">
      <c r="A109" s="2" t="s">
        <v>823</v>
      </c>
      <c r="B109" s="2" t="s">
        <v>787</v>
      </c>
      <c r="C109" s="2" t="s">
        <v>824</v>
      </c>
      <c r="D109" s="2" t="s">
        <v>495</v>
      </c>
      <c r="E109" s="2" t="s">
        <v>87</v>
      </c>
      <c r="F109" s="2" t="s">
        <v>787</v>
      </c>
      <c r="G109" s="2" t="s">
        <v>88</v>
      </c>
      <c r="H109" s="2" t="s">
        <v>30</v>
      </c>
      <c r="I109" s="2" t="s">
        <v>825</v>
      </c>
      <c r="J109" s="2" t="s">
        <v>87</v>
      </c>
      <c r="K109" s="2" t="s">
        <v>91</v>
      </c>
      <c r="L109" s="2" t="s">
        <v>91</v>
      </c>
      <c r="M109" s="2" t="s">
        <v>34</v>
      </c>
      <c r="N109" s="2" t="s">
        <v>826</v>
      </c>
      <c r="O109" s="2" t="s">
        <v>827</v>
      </c>
      <c r="P109" s="2" t="s">
        <v>37</v>
      </c>
      <c r="Q109" s="2" t="s">
        <v>828</v>
      </c>
    </row>
    <row r="110" customFormat="false" ht="23.85" hidden="false" customHeight="false" outlineLevel="0" collapsed="false">
      <c r="A110" s="2" t="s">
        <v>829</v>
      </c>
      <c r="B110" s="2" t="s">
        <v>830</v>
      </c>
      <c r="C110" s="2" t="s">
        <v>831</v>
      </c>
      <c r="D110" s="2" t="s">
        <v>495</v>
      </c>
      <c r="E110" s="2" t="s">
        <v>87</v>
      </c>
      <c r="F110" s="2"/>
      <c r="G110" s="2" t="s">
        <v>88</v>
      </c>
      <c r="H110" s="2" t="s">
        <v>30</v>
      </c>
      <c r="I110" s="2" t="s">
        <v>832</v>
      </c>
      <c r="J110" s="2" t="s">
        <v>91</v>
      </c>
      <c r="K110" s="2" t="s">
        <v>91</v>
      </c>
      <c r="L110" s="2" t="s">
        <v>91</v>
      </c>
      <c r="M110" s="2"/>
      <c r="N110" s="2"/>
      <c r="O110" s="2" t="s">
        <v>718</v>
      </c>
      <c r="P110" s="2" t="s">
        <v>51</v>
      </c>
      <c r="Q110" s="2"/>
    </row>
    <row r="111" customFormat="false" ht="23.85" hidden="false" customHeight="false" outlineLevel="0" collapsed="false">
      <c r="A111" s="2" t="s">
        <v>833</v>
      </c>
      <c r="B111" s="2" t="s">
        <v>834</v>
      </c>
      <c r="C111" s="2" t="s">
        <v>835</v>
      </c>
      <c r="D111" s="2" t="s">
        <v>495</v>
      </c>
      <c r="E111" s="2" t="s">
        <v>87</v>
      </c>
      <c r="F111" s="2"/>
      <c r="G111" s="2" t="s">
        <v>88</v>
      </c>
      <c r="H111" s="2" t="s">
        <v>30</v>
      </c>
      <c r="I111" s="2" t="s">
        <v>836</v>
      </c>
      <c r="J111" s="2" t="s">
        <v>91</v>
      </c>
      <c r="K111" s="2" t="s">
        <v>91</v>
      </c>
      <c r="L111" s="2" t="s">
        <v>91</v>
      </c>
      <c r="M111" s="2"/>
      <c r="N111" s="2"/>
      <c r="O111" s="2" t="s">
        <v>718</v>
      </c>
      <c r="P111" s="2" t="s">
        <v>51</v>
      </c>
      <c r="Q111" s="2"/>
    </row>
    <row r="112" customFormat="false" ht="135.8" hidden="false" customHeight="false" outlineLevel="0" collapsed="false">
      <c r="A112" s="2" t="s">
        <v>837</v>
      </c>
      <c r="B112" s="2" t="s">
        <v>510</v>
      </c>
      <c r="C112" s="2" t="s">
        <v>838</v>
      </c>
      <c r="D112" s="2" t="s">
        <v>495</v>
      </c>
      <c r="E112" s="2" t="s">
        <v>42</v>
      </c>
      <c r="F112" s="2"/>
      <c r="G112" s="2" t="s">
        <v>187</v>
      </c>
      <c r="H112" s="2" t="s">
        <v>511</v>
      </c>
      <c r="I112" s="2" t="s">
        <v>839</v>
      </c>
      <c r="J112" s="2" t="s">
        <v>840</v>
      </c>
      <c r="K112" s="2" t="s">
        <v>841</v>
      </c>
      <c r="L112" s="2" t="s">
        <v>842</v>
      </c>
      <c r="M112" s="2" t="s">
        <v>48</v>
      </c>
      <c r="N112" s="2" t="s">
        <v>843</v>
      </c>
      <c r="O112" s="2" t="s">
        <v>844</v>
      </c>
      <c r="P112" s="2" t="s">
        <v>51</v>
      </c>
      <c r="Q112" s="2"/>
    </row>
    <row r="113" customFormat="false" ht="23.85" hidden="false" customHeight="false" outlineLevel="0" collapsed="false">
      <c r="A113" s="2" t="s">
        <v>845</v>
      </c>
      <c r="B113" s="2" t="s">
        <v>510</v>
      </c>
      <c r="C113" s="2" t="s">
        <v>846</v>
      </c>
      <c r="D113" s="2" t="s">
        <v>495</v>
      </c>
      <c r="E113" s="2" t="s">
        <v>77</v>
      </c>
      <c r="F113" s="2" t="s">
        <v>510</v>
      </c>
      <c r="G113" s="2" t="s">
        <v>29</v>
      </c>
      <c r="H113" s="2" t="s">
        <v>30</v>
      </c>
      <c r="I113" s="2" t="s">
        <v>847</v>
      </c>
      <c r="J113" s="2" t="s">
        <v>848</v>
      </c>
      <c r="K113" s="2" t="s">
        <v>46</v>
      </c>
      <c r="L113" s="2" t="s">
        <v>849</v>
      </c>
      <c r="M113" s="2" t="s">
        <v>34</v>
      </c>
      <c r="N113" s="2" t="s">
        <v>850</v>
      </c>
      <c r="O113" s="2" t="s">
        <v>851</v>
      </c>
      <c r="P113" s="2" t="s">
        <v>51</v>
      </c>
      <c r="Q113" s="2"/>
    </row>
    <row r="114" customFormat="false" ht="57.45" hidden="false" customHeight="false" outlineLevel="0" collapsed="false">
      <c r="A114" s="2" t="s">
        <v>852</v>
      </c>
      <c r="B114" s="2" t="s">
        <v>510</v>
      </c>
      <c r="C114" s="2" t="s">
        <v>853</v>
      </c>
      <c r="D114" s="2" t="s">
        <v>495</v>
      </c>
      <c r="E114" s="2" t="s">
        <v>77</v>
      </c>
      <c r="F114" s="2" t="s">
        <v>510</v>
      </c>
      <c r="G114" s="2" t="s">
        <v>226</v>
      </c>
      <c r="H114" s="2" t="s">
        <v>98</v>
      </c>
      <c r="I114" s="2" t="s">
        <v>854</v>
      </c>
      <c r="J114" s="2" t="s">
        <v>855</v>
      </c>
      <c r="K114" s="2" t="s">
        <v>856</v>
      </c>
      <c r="L114" s="2" t="s">
        <v>800</v>
      </c>
      <c r="M114" s="2" t="s">
        <v>34</v>
      </c>
      <c r="N114" s="2" t="s">
        <v>857</v>
      </c>
      <c r="O114" s="2" t="s">
        <v>858</v>
      </c>
      <c r="P114" s="2" t="s">
        <v>37</v>
      </c>
      <c r="Q114" s="2" t="s">
        <v>859</v>
      </c>
    </row>
    <row r="115" customFormat="false" ht="46.25" hidden="false" customHeight="false" outlineLevel="0" collapsed="false">
      <c r="A115" s="2" t="s">
        <v>860</v>
      </c>
      <c r="B115" s="2" t="s">
        <v>510</v>
      </c>
      <c r="C115" s="2" t="s">
        <v>861</v>
      </c>
      <c r="D115" s="2" t="s">
        <v>495</v>
      </c>
      <c r="E115" s="2" t="s">
        <v>77</v>
      </c>
      <c r="F115" s="2" t="s">
        <v>510</v>
      </c>
      <c r="G115" s="2" t="s">
        <v>187</v>
      </c>
      <c r="H115" s="2" t="s">
        <v>511</v>
      </c>
      <c r="I115" s="2" t="s">
        <v>862</v>
      </c>
      <c r="J115" s="2" t="s">
        <v>863</v>
      </c>
      <c r="K115" s="2" t="s">
        <v>864</v>
      </c>
      <c r="L115" s="2" t="s">
        <v>865</v>
      </c>
      <c r="M115" s="2" t="s">
        <v>34</v>
      </c>
      <c r="N115" s="2" t="s">
        <v>866</v>
      </c>
      <c r="O115" s="2" t="s">
        <v>867</v>
      </c>
      <c r="P115" s="2" t="s">
        <v>51</v>
      </c>
      <c r="Q115" s="2"/>
    </row>
    <row r="116" customFormat="false" ht="23.85" hidden="false" customHeight="false" outlineLevel="0" collapsed="false">
      <c r="A116" s="2" t="s">
        <v>868</v>
      </c>
      <c r="B116" s="2" t="s">
        <v>510</v>
      </c>
      <c r="C116" s="2" t="s">
        <v>869</v>
      </c>
      <c r="D116" s="2" t="s">
        <v>495</v>
      </c>
      <c r="E116" s="2" t="s">
        <v>77</v>
      </c>
      <c r="F116" s="2" t="s">
        <v>510</v>
      </c>
      <c r="G116" s="2" t="s">
        <v>78</v>
      </c>
      <c r="H116" s="2" t="s">
        <v>300</v>
      </c>
      <c r="I116" s="2" t="s">
        <v>870</v>
      </c>
      <c r="J116" s="2" t="s">
        <v>871</v>
      </c>
      <c r="K116" s="2" t="s">
        <v>872</v>
      </c>
      <c r="L116" s="2" t="s">
        <v>873</v>
      </c>
      <c r="M116" s="2" t="s">
        <v>874</v>
      </c>
      <c r="N116" s="2" t="s">
        <v>875</v>
      </c>
      <c r="O116" s="2" t="s">
        <v>876</v>
      </c>
      <c r="P116" s="2" t="s">
        <v>51</v>
      </c>
      <c r="Q116" s="2"/>
    </row>
    <row r="117" customFormat="false" ht="23.85" hidden="false" customHeight="false" outlineLevel="0" collapsed="false">
      <c r="A117" s="2" t="s">
        <v>877</v>
      </c>
      <c r="B117" s="2" t="s">
        <v>510</v>
      </c>
      <c r="C117" s="2" t="s">
        <v>878</v>
      </c>
      <c r="D117" s="2" t="s">
        <v>495</v>
      </c>
      <c r="E117" s="2" t="s">
        <v>77</v>
      </c>
      <c r="F117" s="2" t="s">
        <v>510</v>
      </c>
      <c r="G117" s="2" t="s">
        <v>43</v>
      </c>
      <c r="H117" s="2" t="s">
        <v>278</v>
      </c>
      <c r="I117" s="2" t="s">
        <v>879</v>
      </c>
      <c r="J117" s="2" t="s">
        <v>880</v>
      </c>
      <c r="K117" s="2" t="s">
        <v>881</v>
      </c>
      <c r="L117" s="2" t="s">
        <v>882</v>
      </c>
      <c r="M117" s="2" t="s">
        <v>34</v>
      </c>
      <c r="N117" s="2" t="s">
        <v>883</v>
      </c>
      <c r="O117" s="2" t="s">
        <v>884</v>
      </c>
      <c r="P117" s="2" t="s">
        <v>51</v>
      </c>
      <c r="Q117" s="2"/>
    </row>
    <row r="118" customFormat="false" ht="23.85" hidden="false" customHeight="false" outlineLevel="0" collapsed="false">
      <c r="A118" s="2" t="s">
        <v>885</v>
      </c>
      <c r="B118" s="2" t="s">
        <v>510</v>
      </c>
      <c r="C118" s="2" t="s">
        <v>886</v>
      </c>
      <c r="D118" s="2" t="s">
        <v>495</v>
      </c>
      <c r="E118" s="2" t="s">
        <v>77</v>
      </c>
      <c r="F118" s="2" t="s">
        <v>510</v>
      </c>
      <c r="G118" s="2" t="s">
        <v>29</v>
      </c>
      <c r="H118" s="2" t="s">
        <v>300</v>
      </c>
      <c r="I118" s="2" t="s">
        <v>887</v>
      </c>
      <c r="J118" s="2" t="s">
        <v>888</v>
      </c>
      <c r="K118" s="2" t="s">
        <v>46</v>
      </c>
      <c r="L118" s="2" t="s">
        <v>889</v>
      </c>
      <c r="M118" s="2" t="s">
        <v>34</v>
      </c>
      <c r="N118" s="2" t="s">
        <v>890</v>
      </c>
      <c r="O118" s="2" t="s">
        <v>891</v>
      </c>
      <c r="P118" s="2" t="s">
        <v>51</v>
      </c>
      <c r="Q118" s="2"/>
    </row>
    <row r="119" customFormat="false" ht="79.85" hidden="false" customHeight="false" outlineLevel="0" collapsed="false">
      <c r="A119" s="2" t="s">
        <v>892</v>
      </c>
      <c r="B119" s="2" t="s">
        <v>510</v>
      </c>
      <c r="C119" s="2" t="s">
        <v>893</v>
      </c>
      <c r="D119" s="2" t="s">
        <v>495</v>
      </c>
      <c r="E119" s="2" t="s">
        <v>697</v>
      </c>
      <c r="F119" s="2" t="s">
        <v>510</v>
      </c>
      <c r="G119" s="2" t="s">
        <v>151</v>
      </c>
      <c r="H119" s="2" t="s">
        <v>161</v>
      </c>
      <c r="I119" s="2" t="s">
        <v>894</v>
      </c>
      <c r="J119" s="2" t="s">
        <v>895</v>
      </c>
      <c r="K119" s="2" t="s">
        <v>896</v>
      </c>
      <c r="L119" s="2" t="s">
        <v>897</v>
      </c>
      <c r="M119" s="2" t="s">
        <v>48</v>
      </c>
      <c r="N119" s="2" t="s">
        <v>898</v>
      </c>
      <c r="O119" s="2" t="s">
        <v>899</v>
      </c>
      <c r="P119" s="2" t="s">
        <v>51</v>
      </c>
      <c r="Q119" s="2"/>
    </row>
    <row r="120" customFormat="false" ht="35.05" hidden="false" customHeight="false" outlineLevel="0" collapsed="false">
      <c r="A120" s="2" t="s">
        <v>900</v>
      </c>
      <c r="B120" s="2" t="s">
        <v>510</v>
      </c>
      <c r="C120" s="2" t="s">
        <v>901</v>
      </c>
      <c r="D120" s="2" t="s">
        <v>495</v>
      </c>
      <c r="E120" s="2" t="s">
        <v>697</v>
      </c>
      <c r="F120" s="2" t="s">
        <v>510</v>
      </c>
      <c r="G120" s="2" t="s">
        <v>151</v>
      </c>
      <c r="H120" s="2" t="s">
        <v>161</v>
      </c>
      <c r="I120" s="2" t="s">
        <v>902</v>
      </c>
      <c r="J120" s="2" t="s">
        <v>903</v>
      </c>
      <c r="K120" s="2" t="s">
        <v>46</v>
      </c>
      <c r="L120" s="2" t="s">
        <v>897</v>
      </c>
      <c r="M120" s="2" t="s">
        <v>48</v>
      </c>
      <c r="N120" s="2" t="s">
        <v>904</v>
      </c>
      <c r="O120" s="2" t="s">
        <v>905</v>
      </c>
      <c r="P120" s="2" t="s">
        <v>51</v>
      </c>
      <c r="Q120" s="2"/>
    </row>
    <row r="121" customFormat="false" ht="46.25" hidden="false" customHeight="false" outlineLevel="0" collapsed="false">
      <c r="A121" s="2" t="s">
        <v>906</v>
      </c>
      <c r="B121" s="2" t="s">
        <v>510</v>
      </c>
      <c r="C121" s="2" t="s">
        <v>907</v>
      </c>
      <c r="D121" s="2" t="s">
        <v>495</v>
      </c>
      <c r="E121" s="2" t="s">
        <v>697</v>
      </c>
      <c r="F121" s="2" t="s">
        <v>510</v>
      </c>
      <c r="G121" s="2" t="s">
        <v>151</v>
      </c>
      <c r="H121" s="2" t="s">
        <v>161</v>
      </c>
      <c r="I121" s="2" t="s">
        <v>908</v>
      </c>
      <c r="J121" s="2" t="s">
        <v>909</v>
      </c>
      <c r="K121" s="2" t="s">
        <v>46</v>
      </c>
      <c r="L121" s="2" t="s">
        <v>897</v>
      </c>
      <c r="M121" s="2" t="s">
        <v>48</v>
      </c>
      <c r="N121" s="2" t="s">
        <v>910</v>
      </c>
      <c r="O121" s="2" t="s">
        <v>911</v>
      </c>
      <c r="P121" s="2" t="s">
        <v>51</v>
      </c>
      <c r="Q121" s="2"/>
    </row>
    <row r="122" customFormat="false" ht="57.45" hidden="false" customHeight="false" outlineLevel="0" collapsed="false">
      <c r="A122" s="2" t="s">
        <v>912</v>
      </c>
      <c r="B122" s="2" t="s">
        <v>510</v>
      </c>
      <c r="C122" s="2" t="s">
        <v>913</v>
      </c>
      <c r="D122" s="2" t="s">
        <v>495</v>
      </c>
      <c r="E122" s="2" t="s">
        <v>697</v>
      </c>
      <c r="F122" s="2" t="s">
        <v>510</v>
      </c>
      <c r="G122" s="2" t="s">
        <v>151</v>
      </c>
      <c r="H122" s="2" t="s">
        <v>161</v>
      </c>
      <c r="I122" s="2" t="s">
        <v>914</v>
      </c>
      <c r="J122" s="2" t="s">
        <v>915</v>
      </c>
      <c r="K122" s="2" t="s">
        <v>46</v>
      </c>
      <c r="L122" s="2" t="s">
        <v>897</v>
      </c>
      <c r="M122" s="2" t="s">
        <v>48</v>
      </c>
      <c r="N122" s="2" t="s">
        <v>916</v>
      </c>
      <c r="O122" s="2" t="s">
        <v>917</v>
      </c>
      <c r="P122" s="2" t="s">
        <v>51</v>
      </c>
      <c r="Q122" s="2"/>
    </row>
    <row r="123" customFormat="false" ht="68.65" hidden="false" customHeight="false" outlineLevel="0" collapsed="false">
      <c r="A123" s="2" t="s">
        <v>918</v>
      </c>
      <c r="B123" s="2" t="s">
        <v>510</v>
      </c>
      <c r="C123" s="2" t="s">
        <v>919</v>
      </c>
      <c r="D123" s="2" t="s">
        <v>495</v>
      </c>
      <c r="E123" s="2" t="s">
        <v>697</v>
      </c>
      <c r="F123" s="2" t="s">
        <v>510</v>
      </c>
      <c r="G123" s="2" t="s">
        <v>151</v>
      </c>
      <c r="H123" s="2" t="s">
        <v>161</v>
      </c>
      <c r="I123" s="2" t="s">
        <v>920</v>
      </c>
      <c r="J123" s="2" t="s">
        <v>921</v>
      </c>
      <c r="K123" s="2" t="s">
        <v>922</v>
      </c>
      <c r="L123" s="2" t="s">
        <v>897</v>
      </c>
      <c r="M123" s="2" t="s">
        <v>48</v>
      </c>
      <c r="N123" s="2" t="s">
        <v>923</v>
      </c>
      <c r="O123" s="2" t="s">
        <v>924</v>
      </c>
      <c r="P123" s="2" t="s">
        <v>51</v>
      </c>
      <c r="Q123" s="2"/>
    </row>
    <row r="124" customFormat="false" ht="57.45" hidden="false" customHeight="false" outlineLevel="0" collapsed="false">
      <c r="A124" s="2" t="s">
        <v>925</v>
      </c>
      <c r="B124" s="2" t="s">
        <v>510</v>
      </c>
      <c r="C124" s="2" t="s">
        <v>926</v>
      </c>
      <c r="D124" s="2" t="s">
        <v>495</v>
      </c>
      <c r="E124" s="2" t="s">
        <v>697</v>
      </c>
      <c r="F124" s="2" t="s">
        <v>510</v>
      </c>
      <c r="G124" s="2" t="s">
        <v>151</v>
      </c>
      <c r="H124" s="2" t="s">
        <v>161</v>
      </c>
      <c r="I124" s="2" t="s">
        <v>927</v>
      </c>
      <c r="J124" s="2" t="s">
        <v>928</v>
      </c>
      <c r="K124" s="2" t="s">
        <v>46</v>
      </c>
      <c r="L124" s="2" t="s">
        <v>897</v>
      </c>
      <c r="M124" s="2" t="s">
        <v>48</v>
      </c>
      <c r="N124" s="2" t="s">
        <v>929</v>
      </c>
      <c r="O124" s="2" t="s">
        <v>930</v>
      </c>
      <c r="P124" s="2" t="s">
        <v>51</v>
      </c>
      <c r="Q124" s="2"/>
    </row>
    <row r="125" customFormat="false" ht="23.85" hidden="false" customHeight="false" outlineLevel="0" collapsed="false">
      <c r="A125" s="2" t="s">
        <v>931</v>
      </c>
      <c r="B125" s="2" t="s">
        <v>510</v>
      </c>
      <c r="C125" s="2" t="s">
        <v>932</v>
      </c>
      <c r="D125" s="2" t="s">
        <v>495</v>
      </c>
      <c r="E125" s="2" t="s">
        <v>169</v>
      </c>
      <c r="F125" s="2" t="s">
        <v>510</v>
      </c>
      <c r="G125" s="2" t="s">
        <v>151</v>
      </c>
      <c r="H125" s="2" t="s">
        <v>161</v>
      </c>
      <c r="I125" s="2" t="s">
        <v>933</v>
      </c>
      <c r="J125" s="2" t="s">
        <v>934</v>
      </c>
      <c r="K125" s="2" t="s">
        <v>571</v>
      </c>
      <c r="L125" s="2" t="s">
        <v>935</v>
      </c>
      <c r="M125" s="2" t="s">
        <v>48</v>
      </c>
      <c r="N125" s="2" t="s">
        <v>936</v>
      </c>
      <c r="O125" s="2" t="s">
        <v>937</v>
      </c>
      <c r="P125" s="2" t="s">
        <v>51</v>
      </c>
      <c r="Q125" s="2"/>
    </row>
    <row r="126" customFormat="false" ht="46.25" hidden="false" customHeight="false" outlineLevel="0" collapsed="false">
      <c r="A126" s="2" t="s">
        <v>938</v>
      </c>
      <c r="B126" s="2" t="s">
        <v>510</v>
      </c>
      <c r="C126" s="2" t="s">
        <v>939</v>
      </c>
      <c r="D126" s="2" t="s">
        <v>495</v>
      </c>
      <c r="E126" s="2" t="s">
        <v>306</v>
      </c>
      <c r="F126" s="2" t="s">
        <v>510</v>
      </c>
      <c r="G126" s="2" t="s">
        <v>151</v>
      </c>
      <c r="H126" s="2" t="s">
        <v>161</v>
      </c>
      <c r="I126" s="2" t="s">
        <v>940</v>
      </c>
      <c r="J126" s="2" t="s">
        <v>941</v>
      </c>
      <c r="K126" s="2" t="s">
        <v>942</v>
      </c>
      <c r="L126" s="2" t="s">
        <v>943</v>
      </c>
      <c r="M126" s="2" t="s">
        <v>48</v>
      </c>
      <c r="N126" s="2" t="s">
        <v>944</v>
      </c>
      <c r="O126" s="2" t="s">
        <v>945</v>
      </c>
      <c r="P126" s="2" t="s">
        <v>51</v>
      </c>
      <c r="Q126" s="2"/>
    </row>
    <row r="127" customFormat="false" ht="46.25" hidden="false" customHeight="false" outlineLevel="0" collapsed="false">
      <c r="A127" s="2" t="s">
        <v>946</v>
      </c>
      <c r="B127" s="2" t="s">
        <v>510</v>
      </c>
      <c r="C127" s="2" t="s">
        <v>947</v>
      </c>
      <c r="D127" s="2" t="s">
        <v>495</v>
      </c>
      <c r="E127" s="2" t="s">
        <v>63</v>
      </c>
      <c r="F127" s="2" t="s">
        <v>510</v>
      </c>
      <c r="G127" s="2" t="s">
        <v>29</v>
      </c>
      <c r="H127" s="2" t="s">
        <v>161</v>
      </c>
      <c r="I127" s="2" t="s">
        <v>948</v>
      </c>
      <c r="J127" s="2" t="s">
        <v>949</v>
      </c>
      <c r="K127" s="2" t="s">
        <v>46</v>
      </c>
      <c r="L127" s="2" t="s">
        <v>33</v>
      </c>
      <c r="M127" s="2" t="s">
        <v>34</v>
      </c>
      <c r="N127" s="2" t="s">
        <v>950</v>
      </c>
      <c r="O127" s="2" t="s">
        <v>951</v>
      </c>
      <c r="P127" s="2" t="s">
        <v>51</v>
      </c>
      <c r="Q127" s="2"/>
    </row>
    <row r="128" customFormat="false" ht="35.05" hidden="false" customHeight="false" outlineLevel="0" collapsed="false">
      <c r="A128" s="2" t="s">
        <v>952</v>
      </c>
      <c r="B128" s="2" t="s">
        <v>510</v>
      </c>
      <c r="C128" s="2" t="s">
        <v>953</v>
      </c>
      <c r="D128" s="2" t="s">
        <v>495</v>
      </c>
      <c r="E128" s="2" t="s">
        <v>28</v>
      </c>
      <c r="F128" s="2" t="s">
        <v>510</v>
      </c>
      <c r="G128" s="2" t="s">
        <v>29</v>
      </c>
      <c r="H128" s="2" t="s">
        <v>161</v>
      </c>
      <c r="I128" s="2" t="s">
        <v>954</v>
      </c>
      <c r="J128" s="2" t="s">
        <v>955</v>
      </c>
      <c r="K128" s="2" t="s">
        <v>46</v>
      </c>
      <c r="L128" s="2" t="s">
        <v>897</v>
      </c>
      <c r="M128" s="2" t="s">
        <v>48</v>
      </c>
      <c r="N128" s="2" t="s">
        <v>956</v>
      </c>
      <c r="O128" s="2" t="s">
        <v>957</v>
      </c>
      <c r="P128" s="2" t="s">
        <v>51</v>
      </c>
      <c r="Q128" s="2"/>
    </row>
    <row r="129" customFormat="false" ht="46.25" hidden="false" customHeight="false" outlineLevel="0" collapsed="false">
      <c r="A129" s="2" t="s">
        <v>958</v>
      </c>
      <c r="B129" s="2" t="s">
        <v>959</v>
      </c>
      <c r="C129" s="2" t="s">
        <v>960</v>
      </c>
      <c r="D129" s="2" t="s">
        <v>495</v>
      </c>
      <c r="E129" s="2" t="s">
        <v>42</v>
      </c>
      <c r="F129" s="2"/>
      <c r="G129" s="2" t="s">
        <v>187</v>
      </c>
      <c r="H129" s="2" t="s">
        <v>278</v>
      </c>
      <c r="I129" s="2" t="s">
        <v>961</v>
      </c>
      <c r="J129" s="2" t="s">
        <v>962</v>
      </c>
      <c r="K129" s="2" t="s">
        <v>46</v>
      </c>
      <c r="L129" s="2" t="s">
        <v>963</v>
      </c>
      <c r="M129" s="2" t="s">
        <v>34</v>
      </c>
      <c r="N129" s="2" t="s">
        <v>964</v>
      </c>
      <c r="O129" s="2" t="s">
        <v>965</v>
      </c>
      <c r="P129" s="2" t="s">
        <v>37</v>
      </c>
      <c r="Q129" s="2" t="s">
        <v>966</v>
      </c>
    </row>
    <row r="130" customFormat="false" ht="23.85" hidden="false" customHeight="false" outlineLevel="0" collapsed="false">
      <c r="A130" s="2" t="s">
        <v>967</v>
      </c>
      <c r="B130" s="2" t="s">
        <v>959</v>
      </c>
      <c r="C130" s="2" t="s">
        <v>968</v>
      </c>
      <c r="D130" s="2" t="s">
        <v>495</v>
      </c>
      <c r="E130" s="2" t="s">
        <v>77</v>
      </c>
      <c r="F130" s="2" t="s">
        <v>959</v>
      </c>
      <c r="G130" s="2" t="s">
        <v>187</v>
      </c>
      <c r="H130" s="2" t="s">
        <v>278</v>
      </c>
      <c r="I130" s="2" t="s">
        <v>969</v>
      </c>
      <c r="J130" s="2" t="s">
        <v>970</v>
      </c>
      <c r="K130" s="2" t="s">
        <v>46</v>
      </c>
      <c r="L130" s="2" t="s">
        <v>33</v>
      </c>
      <c r="M130" s="2" t="s">
        <v>34</v>
      </c>
      <c r="N130" s="2" t="s">
        <v>971</v>
      </c>
      <c r="O130" s="2" t="s">
        <v>972</v>
      </c>
      <c r="P130" s="2" t="s">
        <v>51</v>
      </c>
      <c r="Q130" s="2"/>
    </row>
    <row r="131" customFormat="false" ht="23.85" hidden="false" customHeight="false" outlineLevel="0" collapsed="false">
      <c r="A131" s="2" t="s">
        <v>973</v>
      </c>
      <c r="B131" s="2" t="s">
        <v>959</v>
      </c>
      <c r="C131" s="2" t="s">
        <v>974</v>
      </c>
      <c r="D131" s="2" t="s">
        <v>495</v>
      </c>
      <c r="E131" s="2" t="s">
        <v>63</v>
      </c>
      <c r="F131" s="2" t="s">
        <v>959</v>
      </c>
      <c r="G131" s="2" t="s">
        <v>29</v>
      </c>
      <c r="H131" s="2" t="s">
        <v>161</v>
      </c>
      <c r="I131" s="2" t="s">
        <v>975</v>
      </c>
      <c r="J131" s="2" t="s">
        <v>976</v>
      </c>
      <c r="K131" s="2" t="s">
        <v>46</v>
      </c>
      <c r="L131" s="2" t="s">
        <v>33</v>
      </c>
      <c r="M131" s="2" t="s">
        <v>34</v>
      </c>
      <c r="N131" s="2" t="s">
        <v>977</v>
      </c>
      <c r="O131" s="2" t="s">
        <v>978</v>
      </c>
      <c r="P131" s="2" t="s">
        <v>51</v>
      </c>
      <c r="Q131" s="2"/>
    </row>
    <row r="132" customFormat="false" ht="23.85" hidden="false" customHeight="false" outlineLevel="0" collapsed="false">
      <c r="A132" s="2" t="s">
        <v>979</v>
      </c>
      <c r="B132" s="2" t="s">
        <v>959</v>
      </c>
      <c r="C132" s="2" t="s">
        <v>980</v>
      </c>
      <c r="D132" s="2" t="s">
        <v>495</v>
      </c>
      <c r="E132" s="2" t="s">
        <v>28</v>
      </c>
      <c r="F132" s="2" t="s">
        <v>959</v>
      </c>
      <c r="G132" s="2" t="s">
        <v>29</v>
      </c>
      <c r="H132" s="2" t="s">
        <v>278</v>
      </c>
      <c r="I132" s="2" t="s">
        <v>981</v>
      </c>
      <c r="J132" s="2" t="s">
        <v>982</v>
      </c>
      <c r="K132" s="2" t="s">
        <v>46</v>
      </c>
      <c r="L132" s="2" t="s">
        <v>33</v>
      </c>
      <c r="M132" s="2" t="s">
        <v>34</v>
      </c>
      <c r="N132" s="2" t="s">
        <v>983</v>
      </c>
      <c r="O132" s="2" t="s">
        <v>984</v>
      </c>
      <c r="P132" s="2" t="s">
        <v>51</v>
      </c>
      <c r="Q132" s="2"/>
    </row>
    <row r="133" customFormat="false" ht="68.65" hidden="false" customHeight="false" outlineLevel="0" collapsed="false">
      <c r="A133" s="2" t="s">
        <v>985</v>
      </c>
      <c r="B133" s="2" t="s">
        <v>986</v>
      </c>
      <c r="C133" s="2" t="s">
        <v>987</v>
      </c>
      <c r="D133" s="2" t="s">
        <v>495</v>
      </c>
      <c r="E133" s="2" t="s">
        <v>42</v>
      </c>
      <c r="F133" s="2"/>
      <c r="G133" s="2" t="s">
        <v>187</v>
      </c>
      <c r="H133" s="2" t="s">
        <v>300</v>
      </c>
      <c r="I133" s="2" t="s">
        <v>988</v>
      </c>
      <c r="J133" s="2" t="s">
        <v>989</v>
      </c>
      <c r="K133" s="2" t="s">
        <v>990</v>
      </c>
      <c r="L133" s="2" t="s">
        <v>991</v>
      </c>
      <c r="M133" s="2" t="s">
        <v>34</v>
      </c>
      <c r="N133" s="2" t="s">
        <v>992</v>
      </c>
      <c r="O133" s="2" t="s">
        <v>993</v>
      </c>
      <c r="P133" s="2" t="s">
        <v>37</v>
      </c>
      <c r="Q133" s="2" t="s">
        <v>994</v>
      </c>
    </row>
    <row r="134" customFormat="false" ht="57.45" hidden="false" customHeight="false" outlineLevel="0" collapsed="false">
      <c r="A134" s="2" t="s">
        <v>995</v>
      </c>
      <c r="B134" s="2" t="s">
        <v>986</v>
      </c>
      <c r="C134" s="2" t="s">
        <v>996</v>
      </c>
      <c r="D134" s="2" t="s">
        <v>495</v>
      </c>
      <c r="E134" s="2" t="s">
        <v>77</v>
      </c>
      <c r="F134" s="2" t="s">
        <v>986</v>
      </c>
      <c r="G134" s="2" t="s">
        <v>187</v>
      </c>
      <c r="H134" s="2" t="s">
        <v>300</v>
      </c>
      <c r="I134" s="2" t="s">
        <v>997</v>
      </c>
      <c r="J134" s="2" t="s">
        <v>998</v>
      </c>
      <c r="K134" s="2" t="s">
        <v>999</v>
      </c>
      <c r="L134" s="2" t="s">
        <v>33</v>
      </c>
      <c r="M134" s="2" t="s">
        <v>34</v>
      </c>
      <c r="N134" s="2" t="s">
        <v>1000</v>
      </c>
      <c r="O134" s="2" t="s">
        <v>1001</v>
      </c>
      <c r="P134" s="2" t="s">
        <v>51</v>
      </c>
      <c r="Q134" s="2"/>
    </row>
    <row r="135" customFormat="false" ht="57.45" hidden="false" customHeight="false" outlineLevel="0" collapsed="false">
      <c r="A135" s="2" t="s">
        <v>1002</v>
      </c>
      <c r="B135" s="2" t="s">
        <v>986</v>
      </c>
      <c r="C135" s="2" t="s">
        <v>1003</v>
      </c>
      <c r="D135" s="2" t="s">
        <v>495</v>
      </c>
      <c r="E135" s="2" t="s">
        <v>77</v>
      </c>
      <c r="F135" s="2" t="s">
        <v>986</v>
      </c>
      <c r="G135" s="2" t="s">
        <v>29</v>
      </c>
      <c r="H135" s="2" t="s">
        <v>300</v>
      </c>
      <c r="I135" s="2" t="s">
        <v>1004</v>
      </c>
      <c r="J135" s="2" t="s">
        <v>1005</v>
      </c>
      <c r="K135" s="2" t="s">
        <v>1006</v>
      </c>
      <c r="L135" s="2" t="s">
        <v>33</v>
      </c>
      <c r="M135" s="2" t="s">
        <v>34</v>
      </c>
      <c r="N135" s="2" t="s">
        <v>1007</v>
      </c>
      <c r="O135" s="2" t="s">
        <v>1008</v>
      </c>
      <c r="P135" s="2" t="s">
        <v>51</v>
      </c>
      <c r="Q135" s="2"/>
    </row>
    <row r="136" customFormat="false" ht="46.25" hidden="false" customHeight="false" outlineLevel="0" collapsed="false">
      <c r="A136" s="2" t="s">
        <v>1009</v>
      </c>
      <c r="B136" s="2" t="s">
        <v>986</v>
      </c>
      <c r="C136" s="2" t="s">
        <v>1010</v>
      </c>
      <c r="D136" s="2" t="s">
        <v>495</v>
      </c>
      <c r="E136" s="2" t="s">
        <v>697</v>
      </c>
      <c r="F136" s="2" t="s">
        <v>986</v>
      </c>
      <c r="G136" s="2" t="s">
        <v>151</v>
      </c>
      <c r="H136" s="2" t="s">
        <v>300</v>
      </c>
      <c r="I136" s="2" t="s">
        <v>1011</v>
      </c>
      <c r="J136" s="2" t="s">
        <v>1012</v>
      </c>
      <c r="K136" s="2" t="s">
        <v>46</v>
      </c>
      <c r="L136" s="2" t="s">
        <v>897</v>
      </c>
      <c r="M136" s="2" t="s">
        <v>48</v>
      </c>
      <c r="N136" s="2" t="s">
        <v>1013</v>
      </c>
      <c r="O136" s="2" t="s">
        <v>1014</v>
      </c>
      <c r="P136" s="2" t="s">
        <v>51</v>
      </c>
      <c r="Q136" s="2"/>
    </row>
    <row r="137" customFormat="false" ht="35.05" hidden="false" customHeight="false" outlineLevel="0" collapsed="false">
      <c r="A137" s="2" t="s">
        <v>1015</v>
      </c>
      <c r="B137" s="2" t="s">
        <v>986</v>
      </c>
      <c r="C137" s="2" t="s">
        <v>1016</v>
      </c>
      <c r="D137" s="2" t="s">
        <v>495</v>
      </c>
      <c r="E137" s="2" t="s">
        <v>697</v>
      </c>
      <c r="F137" s="2" t="s">
        <v>986</v>
      </c>
      <c r="G137" s="2" t="s">
        <v>151</v>
      </c>
      <c r="H137" s="2" t="s">
        <v>300</v>
      </c>
      <c r="I137" s="2" t="s">
        <v>1017</v>
      </c>
      <c r="J137" s="2" t="s">
        <v>1018</v>
      </c>
      <c r="K137" s="2" t="s">
        <v>46</v>
      </c>
      <c r="L137" s="2" t="s">
        <v>897</v>
      </c>
      <c r="M137" s="2" t="s">
        <v>48</v>
      </c>
      <c r="N137" s="2" t="s">
        <v>1019</v>
      </c>
      <c r="O137" s="2" t="s">
        <v>1020</v>
      </c>
      <c r="P137" s="2" t="s">
        <v>51</v>
      </c>
      <c r="Q137" s="2"/>
    </row>
    <row r="138" customFormat="false" ht="35.05" hidden="false" customHeight="false" outlineLevel="0" collapsed="false">
      <c r="A138" s="2" t="s">
        <v>1021</v>
      </c>
      <c r="B138" s="2" t="s">
        <v>986</v>
      </c>
      <c r="C138" s="2" t="s">
        <v>1022</v>
      </c>
      <c r="D138" s="2" t="s">
        <v>495</v>
      </c>
      <c r="E138" s="2" t="s">
        <v>697</v>
      </c>
      <c r="F138" s="2" t="s">
        <v>986</v>
      </c>
      <c r="G138" s="2" t="s">
        <v>151</v>
      </c>
      <c r="H138" s="2" t="s">
        <v>300</v>
      </c>
      <c r="I138" s="2" t="s">
        <v>1023</v>
      </c>
      <c r="J138" s="2" t="s">
        <v>1024</v>
      </c>
      <c r="K138" s="2" t="s">
        <v>46</v>
      </c>
      <c r="L138" s="2" t="s">
        <v>897</v>
      </c>
      <c r="M138" s="2" t="s">
        <v>48</v>
      </c>
      <c r="N138" s="2" t="s">
        <v>1025</v>
      </c>
      <c r="O138" s="2" t="s">
        <v>1026</v>
      </c>
      <c r="P138" s="2" t="s">
        <v>51</v>
      </c>
      <c r="Q138" s="2"/>
    </row>
    <row r="139" customFormat="false" ht="35.05" hidden="false" customHeight="false" outlineLevel="0" collapsed="false">
      <c r="A139" s="2" t="s">
        <v>1027</v>
      </c>
      <c r="B139" s="2" t="s">
        <v>986</v>
      </c>
      <c r="C139" s="2" t="s">
        <v>1028</v>
      </c>
      <c r="D139" s="2" t="s">
        <v>495</v>
      </c>
      <c r="E139" s="2" t="s">
        <v>697</v>
      </c>
      <c r="F139" s="2" t="s">
        <v>986</v>
      </c>
      <c r="G139" s="2" t="s">
        <v>151</v>
      </c>
      <c r="H139" s="2" t="s">
        <v>300</v>
      </c>
      <c r="I139" s="2" t="s">
        <v>1029</v>
      </c>
      <c r="J139" s="2" t="s">
        <v>1030</v>
      </c>
      <c r="K139" s="2" t="s">
        <v>46</v>
      </c>
      <c r="L139" s="2" t="s">
        <v>897</v>
      </c>
      <c r="M139" s="2" t="s">
        <v>48</v>
      </c>
      <c r="N139" s="2" t="s">
        <v>1031</v>
      </c>
      <c r="O139" s="2" t="s">
        <v>1032</v>
      </c>
      <c r="P139" s="2" t="s">
        <v>51</v>
      </c>
      <c r="Q139" s="2"/>
    </row>
    <row r="140" customFormat="false" ht="35.05" hidden="false" customHeight="false" outlineLevel="0" collapsed="false">
      <c r="A140" s="2" t="s">
        <v>1033</v>
      </c>
      <c r="B140" s="2" t="s">
        <v>986</v>
      </c>
      <c r="C140" s="2" t="s">
        <v>1034</v>
      </c>
      <c r="D140" s="2" t="s">
        <v>495</v>
      </c>
      <c r="E140" s="2" t="s">
        <v>697</v>
      </c>
      <c r="F140" s="2" t="s">
        <v>986</v>
      </c>
      <c r="G140" s="2" t="s">
        <v>151</v>
      </c>
      <c r="H140" s="2" t="s">
        <v>300</v>
      </c>
      <c r="I140" s="2" t="s">
        <v>1035</v>
      </c>
      <c r="J140" s="2" t="s">
        <v>1036</v>
      </c>
      <c r="K140" s="2" t="s">
        <v>46</v>
      </c>
      <c r="L140" s="2" t="s">
        <v>897</v>
      </c>
      <c r="M140" s="2" t="s">
        <v>48</v>
      </c>
      <c r="N140" s="2"/>
      <c r="O140" s="2" t="s">
        <v>1037</v>
      </c>
      <c r="P140" s="2" t="s">
        <v>51</v>
      </c>
      <c r="Q140" s="2"/>
    </row>
    <row r="141" customFormat="false" ht="35.05" hidden="false" customHeight="false" outlineLevel="0" collapsed="false">
      <c r="A141" s="2" t="s">
        <v>1038</v>
      </c>
      <c r="B141" s="2" t="s">
        <v>986</v>
      </c>
      <c r="C141" s="2" t="s">
        <v>1039</v>
      </c>
      <c r="D141" s="2" t="s">
        <v>495</v>
      </c>
      <c r="E141" s="2" t="s">
        <v>697</v>
      </c>
      <c r="F141" s="2" t="s">
        <v>986</v>
      </c>
      <c r="G141" s="2" t="s">
        <v>151</v>
      </c>
      <c r="H141" s="2" t="s">
        <v>300</v>
      </c>
      <c r="I141" s="2" t="s">
        <v>1040</v>
      </c>
      <c r="J141" s="2" t="s">
        <v>1041</v>
      </c>
      <c r="K141" s="2" t="s">
        <v>46</v>
      </c>
      <c r="L141" s="2" t="s">
        <v>897</v>
      </c>
      <c r="M141" s="2" t="s">
        <v>48</v>
      </c>
      <c r="N141" s="2" t="s">
        <v>1042</v>
      </c>
      <c r="O141" s="2" t="s">
        <v>1043</v>
      </c>
      <c r="P141" s="2" t="s">
        <v>51</v>
      </c>
      <c r="Q141" s="2"/>
    </row>
    <row r="142" customFormat="false" ht="35.05" hidden="false" customHeight="false" outlineLevel="0" collapsed="false">
      <c r="A142" s="2" t="s">
        <v>1044</v>
      </c>
      <c r="B142" s="2" t="s">
        <v>986</v>
      </c>
      <c r="C142" s="2" t="s">
        <v>1045</v>
      </c>
      <c r="D142" s="2" t="s">
        <v>495</v>
      </c>
      <c r="E142" s="2" t="s">
        <v>697</v>
      </c>
      <c r="F142" s="2" t="s">
        <v>986</v>
      </c>
      <c r="G142" s="2" t="s">
        <v>151</v>
      </c>
      <c r="H142" s="2" t="s">
        <v>300</v>
      </c>
      <c r="I142" s="2" t="s">
        <v>1046</v>
      </c>
      <c r="J142" s="2" t="s">
        <v>1047</v>
      </c>
      <c r="K142" s="2" t="s">
        <v>46</v>
      </c>
      <c r="L142" s="2" t="s">
        <v>897</v>
      </c>
      <c r="M142" s="2" t="s">
        <v>48</v>
      </c>
      <c r="N142" s="2" t="s">
        <v>1048</v>
      </c>
      <c r="O142" s="2" t="s">
        <v>1049</v>
      </c>
      <c r="P142" s="2" t="s">
        <v>51</v>
      </c>
      <c r="Q142" s="2"/>
    </row>
    <row r="143" customFormat="false" ht="35.05" hidden="false" customHeight="false" outlineLevel="0" collapsed="false">
      <c r="A143" s="2" t="s">
        <v>1050</v>
      </c>
      <c r="B143" s="2" t="s">
        <v>986</v>
      </c>
      <c r="C143" s="2" t="s">
        <v>1051</v>
      </c>
      <c r="D143" s="2" t="s">
        <v>495</v>
      </c>
      <c r="E143" s="2" t="s">
        <v>697</v>
      </c>
      <c r="F143" s="2" t="s">
        <v>986</v>
      </c>
      <c r="G143" s="2" t="s">
        <v>151</v>
      </c>
      <c r="H143" s="2" t="s">
        <v>300</v>
      </c>
      <c r="I143" s="2" t="s">
        <v>1052</v>
      </c>
      <c r="J143" s="2" t="s">
        <v>1053</v>
      </c>
      <c r="K143" s="2" t="s">
        <v>46</v>
      </c>
      <c r="L143" s="2" t="s">
        <v>897</v>
      </c>
      <c r="M143" s="2" t="s">
        <v>48</v>
      </c>
      <c r="N143" s="2" t="s">
        <v>1054</v>
      </c>
      <c r="O143" s="2" t="s">
        <v>1055</v>
      </c>
      <c r="P143" s="2" t="s">
        <v>51</v>
      </c>
      <c r="Q143" s="2"/>
    </row>
    <row r="144" customFormat="false" ht="35.05" hidden="false" customHeight="false" outlineLevel="0" collapsed="false">
      <c r="A144" s="2" t="s">
        <v>1056</v>
      </c>
      <c r="B144" s="2" t="s">
        <v>986</v>
      </c>
      <c r="C144" s="2" t="s">
        <v>1057</v>
      </c>
      <c r="D144" s="2" t="s">
        <v>495</v>
      </c>
      <c r="E144" s="2" t="s">
        <v>697</v>
      </c>
      <c r="F144" s="2" t="s">
        <v>986</v>
      </c>
      <c r="G144" s="2" t="s">
        <v>151</v>
      </c>
      <c r="H144" s="2" t="s">
        <v>300</v>
      </c>
      <c r="I144" s="2" t="s">
        <v>1058</v>
      </c>
      <c r="J144" s="2" t="s">
        <v>1059</v>
      </c>
      <c r="K144" s="2" t="s">
        <v>46</v>
      </c>
      <c r="L144" s="2" t="s">
        <v>897</v>
      </c>
      <c r="M144" s="2" t="s">
        <v>48</v>
      </c>
      <c r="N144" s="2" t="s">
        <v>1060</v>
      </c>
      <c r="O144" s="2" t="s">
        <v>1061</v>
      </c>
      <c r="P144" s="2" t="s">
        <v>51</v>
      </c>
      <c r="Q144" s="2"/>
    </row>
    <row r="145" customFormat="false" ht="35.05" hidden="false" customHeight="false" outlineLevel="0" collapsed="false">
      <c r="A145" s="2" t="s">
        <v>1062</v>
      </c>
      <c r="B145" s="2" t="s">
        <v>986</v>
      </c>
      <c r="C145" s="2" t="s">
        <v>1063</v>
      </c>
      <c r="D145" s="2" t="s">
        <v>495</v>
      </c>
      <c r="E145" s="2" t="s">
        <v>697</v>
      </c>
      <c r="F145" s="2" t="s">
        <v>986</v>
      </c>
      <c r="G145" s="2" t="s">
        <v>151</v>
      </c>
      <c r="H145" s="2" t="s">
        <v>300</v>
      </c>
      <c r="I145" s="2" t="s">
        <v>1035</v>
      </c>
      <c r="J145" s="2" t="s">
        <v>1064</v>
      </c>
      <c r="K145" s="2" t="s">
        <v>46</v>
      </c>
      <c r="L145" s="2" t="s">
        <v>897</v>
      </c>
      <c r="M145" s="2" t="s">
        <v>48</v>
      </c>
      <c r="N145" s="2" t="s">
        <v>1065</v>
      </c>
      <c r="O145" s="2" t="s">
        <v>1066</v>
      </c>
      <c r="P145" s="2" t="s">
        <v>51</v>
      </c>
      <c r="Q145" s="2"/>
    </row>
    <row r="146" customFormat="false" ht="35.05" hidden="false" customHeight="false" outlineLevel="0" collapsed="false">
      <c r="A146" s="2" t="s">
        <v>1067</v>
      </c>
      <c r="B146" s="2" t="s">
        <v>986</v>
      </c>
      <c r="C146" s="2" t="s">
        <v>1068</v>
      </c>
      <c r="D146" s="2" t="s">
        <v>495</v>
      </c>
      <c r="E146" s="2" t="s">
        <v>697</v>
      </c>
      <c r="F146" s="2" t="s">
        <v>986</v>
      </c>
      <c r="G146" s="2" t="s">
        <v>151</v>
      </c>
      <c r="H146" s="2" t="s">
        <v>300</v>
      </c>
      <c r="I146" s="2" t="s">
        <v>1069</v>
      </c>
      <c r="J146" s="2" t="s">
        <v>1070</v>
      </c>
      <c r="K146" s="2" t="s">
        <v>1071</v>
      </c>
      <c r="L146" s="2" t="s">
        <v>897</v>
      </c>
      <c r="M146" s="2" t="s">
        <v>48</v>
      </c>
      <c r="N146" s="2" t="s">
        <v>1072</v>
      </c>
      <c r="O146" s="2" t="s">
        <v>1073</v>
      </c>
      <c r="P146" s="2" t="s">
        <v>51</v>
      </c>
      <c r="Q146" s="2"/>
    </row>
    <row r="147" customFormat="false" ht="35.05" hidden="false" customHeight="false" outlineLevel="0" collapsed="false">
      <c r="A147" s="2" t="s">
        <v>1074</v>
      </c>
      <c r="B147" s="2" t="s">
        <v>986</v>
      </c>
      <c r="C147" s="2" t="s">
        <v>1075</v>
      </c>
      <c r="D147" s="2" t="s">
        <v>495</v>
      </c>
      <c r="E147" s="2" t="s">
        <v>697</v>
      </c>
      <c r="F147" s="2" t="s">
        <v>986</v>
      </c>
      <c r="G147" s="2" t="s">
        <v>151</v>
      </c>
      <c r="H147" s="2" t="s">
        <v>300</v>
      </c>
      <c r="I147" s="2" t="s">
        <v>1076</v>
      </c>
      <c r="J147" s="2" t="s">
        <v>1077</v>
      </c>
      <c r="K147" s="2" t="s">
        <v>46</v>
      </c>
      <c r="L147" s="2" t="s">
        <v>897</v>
      </c>
      <c r="M147" s="2" t="s">
        <v>48</v>
      </c>
      <c r="N147" s="2" t="s">
        <v>1078</v>
      </c>
      <c r="O147" s="2" t="s">
        <v>1079</v>
      </c>
      <c r="P147" s="2" t="s">
        <v>51</v>
      </c>
      <c r="Q147" s="2"/>
    </row>
    <row r="148" customFormat="false" ht="46.25" hidden="false" customHeight="false" outlineLevel="0" collapsed="false">
      <c r="A148" s="2" t="s">
        <v>1080</v>
      </c>
      <c r="B148" s="2" t="s">
        <v>986</v>
      </c>
      <c r="C148" s="2" t="s">
        <v>1081</v>
      </c>
      <c r="D148" s="2" t="s">
        <v>495</v>
      </c>
      <c r="E148" s="2" t="s">
        <v>306</v>
      </c>
      <c r="F148" s="2" t="s">
        <v>986</v>
      </c>
      <c r="G148" s="2" t="s">
        <v>151</v>
      </c>
      <c r="H148" s="2" t="s">
        <v>300</v>
      </c>
      <c r="I148" s="2" t="s">
        <v>1082</v>
      </c>
      <c r="J148" s="2" t="s">
        <v>1083</v>
      </c>
      <c r="K148" s="2" t="s">
        <v>46</v>
      </c>
      <c r="L148" s="2" t="s">
        <v>1084</v>
      </c>
      <c r="M148" s="2" t="s">
        <v>48</v>
      </c>
      <c r="N148" s="2" t="s">
        <v>1085</v>
      </c>
      <c r="O148" s="2" t="s">
        <v>1086</v>
      </c>
      <c r="P148" s="2" t="s">
        <v>51</v>
      </c>
      <c r="Q148" s="2"/>
    </row>
    <row r="149" customFormat="false" ht="23.85" hidden="false" customHeight="false" outlineLevel="0" collapsed="false">
      <c r="A149" s="2" t="s">
        <v>1087</v>
      </c>
      <c r="B149" s="2" t="s">
        <v>986</v>
      </c>
      <c r="C149" s="2" t="s">
        <v>1088</v>
      </c>
      <c r="D149" s="2" t="s">
        <v>495</v>
      </c>
      <c r="E149" s="2" t="s">
        <v>306</v>
      </c>
      <c r="F149" s="2" t="s">
        <v>986</v>
      </c>
      <c r="G149" s="2" t="s">
        <v>151</v>
      </c>
      <c r="H149" s="2" t="s">
        <v>300</v>
      </c>
      <c r="I149" s="2" t="s">
        <v>1089</v>
      </c>
      <c r="J149" s="2" t="s">
        <v>1090</v>
      </c>
      <c r="K149" s="2" t="s">
        <v>46</v>
      </c>
      <c r="L149" s="2" t="s">
        <v>1084</v>
      </c>
      <c r="M149" s="2" t="s">
        <v>48</v>
      </c>
      <c r="N149" s="2" t="s">
        <v>1091</v>
      </c>
      <c r="O149" s="2" t="s">
        <v>1092</v>
      </c>
      <c r="P149" s="2" t="s">
        <v>51</v>
      </c>
      <c r="Q149" s="2"/>
    </row>
    <row r="150" customFormat="false" ht="23.85" hidden="false" customHeight="false" outlineLevel="0" collapsed="false">
      <c r="A150" s="2" t="s">
        <v>1093</v>
      </c>
      <c r="B150" s="2" t="s">
        <v>986</v>
      </c>
      <c r="C150" s="2" t="s">
        <v>1094</v>
      </c>
      <c r="D150" s="2" t="s">
        <v>495</v>
      </c>
      <c r="E150" s="2" t="s">
        <v>87</v>
      </c>
      <c r="F150" s="2" t="s">
        <v>986</v>
      </c>
      <c r="G150" s="2" t="s">
        <v>88</v>
      </c>
      <c r="H150" s="2" t="s">
        <v>30</v>
      </c>
      <c r="I150" s="2" t="s">
        <v>1095</v>
      </c>
      <c r="J150" s="2" t="s">
        <v>87</v>
      </c>
      <c r="K150" s="2" t="s">
        <v>91</v>
      </c>
      <c r="L150" s="2" t="s">
        <v>91</v>
      </c>
      <c r="M150" s="2" t="s">
        <v>34</v>
      </c>
      <c r="N150" s="2" t="s">
        <v>1096</v>
      </c>
      <c r="O150" s="2" t="s">
        <v>1097</v>
      </c>
      <c r="P150" s="2" t="s">
        <v>51</v>
      </c>
      <c r="Q150" s="2"/>
    </row>
    <row r="151" customFormat="false" ht="23.85" hidden="false" customHeight="false" outlineLevel="0" collapsed="false">
      <c r="A151" s="2" t="s">
        <v>1098</v>
      </c>
      <c r="B151" s="2" t="s">
        <v>1099</v>
      </c>
      <c r="C151" s="2" t="s">
        <v>1100</v>
      </c>
      <c r="D151" s="2" t="s">
        <v>495</v>
      </c>
      <c r="E151" s="2" t="s">
        <v>63</v>
      </c>
      <c r="F151" s="2" t="s">
        <v>510</v>
      </c>
      <c r="G151" s="2" t="s">
        <v>29</v>
      </c>
      <c r="H151" s="2" t="s">
        <v>161</v>
      </c>
      <c r="I151" s="2" t="s">
        <v>1101</v>
      </c>
      <c r="J151" s="2" t="s">
        <v>1102</v>
      </c>
      <c r="K151" s="2" t="s">
        <v>46</v>
      </c>
      <c r="L151" s="2" t="s">
        <v>33</v>
      </c>
      <c r="M151" s="2" t="s">
        <v>34</v>
      </c>
      <c r="N151" s="2" t="s">
        <v>1103</v>
      </c>
      <c r="O151" s="2" t="s">
        <v>1104</v>
      </c>
      <c r="P151" s="2" t="s">
        <v>51</v>
      </c>
      <c r="Q151" s="2"/>
    </row>
    <row r="152" customFormat="false" ht="23.85" hidden="false" customHeight="false" outlineLevel="0" collapsed="false">
      <c r="A152" s="2" t="s">
        <v>1105</v>
      </c>
      <c r="B152" s="2" t="s">
        <v>1106</v>
      </c>
      <c r="C152" s="2" t="s">
        <v>1107</v>
      </c>
      <c r="D152" s="2" t="s">
        <v>495</v>
      </c>
      <c r="E152" s="2" t="s">
        <v>63</v>
      </c>
      <c r="F152" s="2" t="s">
        <v>510</v>
      </c>
      <c r="G152" s="2" t="s">
        <v>29</v>
      </c>
      <c r="H152" s="2" t="s">
        <v>161</v>
      </c>
      <c r="I152" s="2" t="s">
        <v>1108</v>
      </c>
      <c r="J152" s="2" t="s">
        <v>1109</v>
      </c>
      <c r="K152" s="2" t="s">
        <v>46</v>
      </c>
      <c r="L152" s="2" t="s">
        <v>33</v>
      </c>
      <c r="M152" s="2" t="s">
        <v>34</v>
      </c>
      <c r="N152" s="2" t="s">
        <v>1110</v>
      </c>
      <c r="O152" s="2" t="s">
        <v>1111</v>
      </c>
      <c r="P152" s="2" t="s">
        <v>51</v>
      </c>
      <c r="Q152" s="2"/>
    </row>
    <row r="153" customFormat="false" ht="57.45" hidden="false" customHeight="false" outlineLevel="0" collapsed="false">
      <c r="A153" s="2" t="s">
        <v>1112</v>
      </c>
      <c r="B153" s="2" t="s">
        <v>1113</v>
      </c>
      <c r="C153" s="2" t="s">
        <v>1114</v>
      </c>
      <c r="D153" s="2" t="s">
        <v>495</v>
      </c>
      <c r="E153" s="2" t="s">
        <v>750</v>
      </c>
      <c r="F153" s="2" t="s">
        <v>510</v>
      </c>
      <c r="G153" s="2" t="s">
        <v>750</v>
      </c>
      <c r="H153" s="2" t="s">
        <v>161</v>
      </c>
      <c r="I153" s="2" t="s">
        <v>1115</v>
      </c>
      <c r="J153" s="2" t="s">
        <v>1116</v>
      </c>
      <c r="K153" s="2" t="s">
        <v>46</v>
      </c>
      <c r="L153" s="2" t="s">
        <v>1117</v>
      </c>
      <c r="M153" s="2" t="s">
        <v>34</v>
      </c>
      <c r="N153" s="2" t="s">
        <v>1118</v>
      </c>
      <c r="O153" s="2" t="s">
        <v>1119</v>
      </c>
      <c r="P153" s="2" t="s">
        <v>51</v>
      </c>
      <c r="Q153" s="2"/>
    </row>
  </sheetData>
  <autoFilter ref="A1:Q15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8" min="2" style="0" width="16"/>
  </cols>
  <sheetData>
    <row r="1" customFormat="false" ht="39.55" hidden="false" customHeight="false" outlineLevel="0" collapsed="false">
      <c r="A1" s="3" t="s">
        <v>13</v>
      </c>
      <c r="B1" s="3" t="s">
        <v>1120</v>
      </c>
      <c r="C1" s="3" t="s">
        <v>1121</v>
      </c>
      <c r="D1" s="3" t="s">
        <v>1122</v>
      </c>
      <c r="E1" s="3" t="s">
        <v>1123</v>
      </c>
      <c r="F1" s="3" t="s">
        <v>1124</v>
      </c>
      <c r="G1" s="3" t="s">
        <v>1125</v>
      </c>
      <c r="H1" s="3" t="s">
        <v>1126</v>
      </c>
    </row>
    <row r="2" customFormat="false" ht="15" hidden="false" customHeight="false" outlineLevel="0" collapsed="false">
      <c r="A2" s="2" t="s">
        <v>78</v>
      </c>
      <c r="B2" s="2" t="n">
        <f aca="false">COUNTIF(Screens!$G$2:$G$153,A2)</f>
        <v>9</v>
      </c>
      <c r="C2" s="2" t="n">
        <f aca="false">COUNTIFS(Screens!$G$2:$G$153,A2,Screens!$E$2:$E$153,"page")</f>
        <v>1</v>
      </c>
      <c r="D2" s="2" t="n">
        <f aca="false">COUNTIFS(Screens!$G$2:$G$153,A2,Screens!$E$2:$E$153,"modal")+COUNTIFS(Screens!$G$2:$G$153,A2,Screens!$E$2:$E$153,"sheet")+COUNTIFS(Screens!$G$2:$G$153,A2,Screens!$E$2:$E$153,"drawer")</f>
        <v>2</v>
      </c>
      <c r="E2" s="2" t="n">
        <f aca="false">COUNTIFS(Screens!$G$2:$G$153,A2,Screens!$E$2:$E$153,"step")</f>
        <v>0</v>
      </c>
      <c r="F2" s="2" t="n">
        <f aca="false">COUNTIFS(Screens!$G$2:$G$153,A2,Screens!$E$2:$E$153,"state")</f>
        <v>6</v>
      </c>
      <c r="G2" s="2" t="n">
        <f aca="false">COUNTIFS(Screens!$G$2:$G$153,A2,Screens!$E$2:$E$153,"empty")+COUNTIFS(Screens!$G$2:$G$153,A2,Screens!$E$2:$E$153,"error")</f>
        <v>0</v>
      </c>
      <c r="H2" s="2" t="n">
        <f aca="false">COUNTIFS(Screens!$G$2:$G$153,A2,Screens!$P$2:$P$153,"Code + verified in prod")</f>
        <v>1</v>
      </c>
    </row>
    <row r="3" customFormat="false" ht="15" hidden="false" customHeight="false" outlineLevel="0" collapsed="false">
      <c r="A3" s="2" t="s">
        <v>262</v>
      </c>
      <c r="B3" s="2" t="n">
        <f aca="false">COUNTIF(Screens!$G$2:$G$153,A3)</f>
        <v>16</v>
      </c>
      <c r="C3" s="2" t="n">
        <f aca="false">COUNTIFS(Screens!$G$2:$G$153,A3,Screens!$E$2:$E$153,"page")</f>
        <v>9</v>
      </c>
      <c r="D3" s="2" t="n">
        <f aca="false">COUNTIFS(Screens!$G$2:$G$153,A3,Screens!$E$2:$E$153,"modal")+COUNTIFS(Screens!$G$2:$G$153,A3,Screens!$E$2:$E$153,"sheet")+COUNTIFS(Screens!$G$2:$G$153,A3,Screens!$E$2:$E$153,"drawer")</f>
        <v>1</v>
      </c>
      <c r="E3" s="2" t="n">
        <f aca="false">COUNTIFS(Screens!$G$2:$G$153,A3,Screens!$E$2:$E$153,"step")</f>
        <v>0</v>
      </c>
      <c r="F3" s="2" t="n">
        <f aca="false">COUNTIFS(Screens!$G$2:$G$153,A3,Screens!$E$2:$E$153,"state")</f>
        <v>6</v>
      </c>
      <c r="G3" s="2" t="n">
        <f aca="false">COUNTIFS(Screens!$G$2:$G$153,A3,Screens!$E$2:$E$153,"empty")+COUNTIFS(Screens!$G$2:$G$153,A3,Screens!$E$2:$E$153,"error")</f>
        <v>0</v>
      </c>
      <c r="H3" s="2" t="n">
        <f aca="false">COUNTIFS(Screens!$G$2:$G$153,A3,Screens!$P$2:$P$153,"Code + verified in prod")</f>
        <v>1</v>
      </c>
    </row>
    <row r="4" customFormat="false" ht="15" hidden="false" customHeight="false" outlineLevel="0" collapsed="false">
      <c r="A4" s="2" t="s">
        <v>43</v>
      </c>
      <c r="B4" s="2" t="n">
        <f aca="false">COUNTIF(Screens!$G$2:$G$153,A4)</f>
        <v>4</v>
      </c>
      <c r="C4" s="2" t="n">
        <f aca="false">COUNTIFS(Screens!$G$2:$G$153,A4,Screens!$E$2:$E$153,"page")</f>
        <v>3</v>
      </c>
      <c r="D4" s="2" t="n">
        <f aca="false">COUNTIFS(Screens!$G$2:$G$153,A4,Screens!$E$2:$E$153,"modal")+COUNTIFS(Screens!$G$2:$G$153,A4,Screens!$E$2:$E$153,"sheet")+COUNTIFS(Screens!$G$2:$G$153,A4,Screens!$E$2:$E$153,"drawer")</f>
        <v>0</v>
      </c>
      <c r="E4" s="2" t="n">
        <f aca="false">COUNTIFS(Screens!$G$2:$G$153,A4,Screens!$E$2:$E$153,"step")</f>
        <v>0</v>
      </c>
      <c r="F4" s="2" t="n">
        <f aca="false">COUNTIFS(Screens!$G$2:$G$153,A4,Screens!$E$2:$E$153,"state")</f>
        <v>1</v>
      </c>
      <c r="G4" s="2" t="n">
        <f aca="false">COUNTIFS(Screens!$G$2:$G$153,A4,Screens!$E$2:$E$153,"empty")+COUNTIFS(Screens!$G$2:$G$153,A4,Screens!$E$2:$E$153,"error")</f>
        <v>0</v>
      </c>
      <c r="H4" s="2" t="n">
        <f aca="false">COUNTIFS(Screens!$G$2:$G$153,A4,Screens!$P$2:$P$153,"Code + verified in prod")</f>
        <v>0</v>
      </c>
    </row>
    <row r="5" customFormat="false" ht="15" hidden="false" customHeight="false" outlineLevel="0" collapsed="false">
      <c r="A5" s="2" t="s">
        <v>151</v>
      </c>
      <c r="B5" s="2" t="n">
        <f aca="false">COUNTIF(Screens!$G$2:$G$153,A5)</f>
        <v>37</v>
      </c>
      <c r="C5" s="2" t="n">
        <f aca="false">COUNTIFS(Screens!$G$2:$G$153,A5,Screens!$E$2:$E$153,"page")</f>
        <v>2</v>
      </c>
      <c r="D5" s="2" t="n">
        <f aca="false">COUNTIFS(Screens!$G$2:$G$153,A5,Screens!$E$2:$E$153,"modal")+COUNTIFS(Screens!$G$2:$G$153,A5,Screens!$E$2:$E$153,"sheet")+COUNTIFS(Screens!$G$2:$G$153,A5,Screens!$E$2:$E$153,"drawer")</f>
        <v>8</v>
      </c>
      <c r="E5" s="2" t="n">
        <f aca="false">COUNTIFS(Screens!$G$2:$G$153,A5,Screens!$E$2:$E$153,"step")</f>
        <v>20</v>
      </c>
      <c r="F5" s="2" t="n">
        <f aca="false">COUNTIFS(Screens!$G$2:$G$153,A5,Screens!$E$2:$E$153,"state")</f>
        <v>6</v>
      </c>
      <c r="G5" s="2" t="n">
        <f aca="false">COUNTIFS(Screens!$G$2:$G$153,A5,Screens!$E$2:$E$153,"empty")+COUNTIFS(Screens!$G$2:$G$153,A5,Screens!$E$2:$E$153,"error")</f>
        <v>1</v>
      </c>
      <c r="H5" s="2" t="n">
        <f aca="false">COUNTIFS(Screens!$G$2:$G$153,A5,Screens!$P$2:$P$153,"Code + verified in prod")</f>
        <v>2</v>
      </c>
    </row>
    <row r="6" customFormat="false" ht="15" hidden="false" customHeight="false" outlineLevel="0" collapsed="false">
      <c r="A6" s="2" t="s">
        <v>187</v>
      </c>
      <c r="B6" s="2" t="n">
        <f aca="false">COUNTIF(Screens!$G$2:$G$153,A6)</f>
        <v>9</v>
      </c>
      <c r="C6" s="2" t="n">
        <f aca="false">COUNTIFS(Screens!$G$2:$G$153,A6,Screens!$E$2:$E$153,"page")</f>
        <v>4</v>
      </c>
      <c r="D6" s="2" t="n">
        <f aca="false">COUNTIFS(Screens!$G$2:$G$153,A6,Screens!$E$2:$E$153,"modal")+COUNTIFS(Screens!$G$2:$G$153,A6,Screens!$E$2:$E$153,"sheet")+COUNTIFS(Screens!$G$2:$G$153,A6,Screens!$E$2:$E$153,"drawer")</f>
        <v>1</v>
      </c>
      <c r="E6" s="2" t="n">
        <f aca="false">COUNTIFS(Screens!$G$2:$G$153,A6,Screens!$E$2:$E$153,"step")</f>
        <v>0</v>
      </c>
      <c r="F6" s="2" t="n">
        <f aca="false">COUNTIFS(Screens!$G$2:$G$153,A6,Screens!$E$2:$E$153,"state")</f>
        <v>4</v>
      </c>
      <c r="G6" s="2" t="n">
        <f aca="false">COUNTIFS(Screens!$G$2:$G$153,A6,Screens!$E$2:$E$153,"empty")+COUNTIFS(Screens!$G$2:$G$153,A6,Screens!$E$2:$E$153,"error")</f>
        <v>0</v>
      </c>
      <c r="H6" s="2" t="n">
        <f aca="false">COUNTIFS(Screens!$G$2:$G$153,A6,Screens!$P$2:$P$153,"Code + verified in prod")</f>
        <v>3</v>
      </c>
    </row>
    <row r="7" customFormat="false" ht="15" hidden="false" customHeight="false" outlineLevel="0" collapsed="false">
      <c r="A7" s="2" t="s">
        <v>750</v>
      </c>
      <c r="B7" s="2" t="n">
        <f aca="false">COUNTIF(Screens!$G$2:$G$153,A7)</f>
        <v>3</v>
      </c>
      <c r="C7" s="2" t="n">
        <f aca="false">COUNTIFS(Screens!$G$2:$G$153,A7,Screens!$E$2:$E$153,"page")</f>
        <v>1</v>
      </c>
      <c r="D7" s="2" t="n">
        <f aca="false">COUNTIFS(Screens!$G$2:$G$153,A7,Screens!$E$2:$E$153,"modal")+COUNTIFS(Screens!$G$2:$G$153,A7,Screens!$E$2:$E$153,"sheet")+COUNTIFS(Screens!$G$2:$G$153,A7,Screens!$E$2:$E$153,"drawer")</f>
        <v>0</v>
      </c>
      <c r="E7" s="2" t="n">
        <f aca="false">COUNTIFS(Screens!$G$2:$G$153,A7,Screens!$E$2:$E$153,"step")</f>
        <v>0</v>
      </c>
      <c r="F7" s="2" t="n">
        <f aca="false">COUNTIFS(Screens!$G$2:$G$153,A7,Screens!$E$2:$E$153,"state")</f>
        <v>1</v>
      </c>
      <c r="G7" s="2" t="n">
        <f aca="false">COUNTIFS(Screens!$G$2:$G$153,A7,Screens!$E$2:$E$153,"empty")+COUNTIFS(Screens!$G$2:$G$153,A7,Screens!$E$2:$E$153,"error")</f>
        <v>0</v>
      </c>
      <c r="H7" s="2" t="n">
        <f aca="false">COUNTIFS(Screens!$G$2:$G$153,A7,Screens!$P$2:$P$153,"Code + verified in prod")</f>
        <v>0</v>
      </c>
    </row>
    <row r="8" customFormat="false" ht="15" hidden="false" customHeight="false" outlineLevel="0" collapsed="false">
      <c r="A8" s="2" t="s">
        <v>226</v>
      </c>
      <c r="B8" s="2" t="n">
        <f aca="false">COUNTIF(Screens!$G$2:$G$153,A8)</f>
        <v>13</v>
      </c>
      <c r="C8" s="2" t="n">
        <f aca="false">COUNTIFS(Screens!$G$2:$G$153,A8,Screens!$E$2:$E$153,"page")</f>
        <v>2</v>
      </c>
      <c r="D8" s="2" t="n">
        <f aca="false">COUNTIFS(Screens!$G$2:$G$153,A8,Screens!$E$2:$E$153,"modal")+COUNTIFS(Screens!$G$2:$G$153,A8,Screens!$E$2:$E$153,"sheet")+COUNTIFS(Screens!$G$2:$G$153,A8,Screens!$E$2:$E$153,"drawer")</f>
        <v>3</v>
      </c>
      <c r="E8" s="2" t="n">
        <f aca="false">COUNTIFS(Screens!$G$2:$G$153,A8,Screens!$E$2:$E$153,"step")</f>
        <v>2</v>
      </c>
      <c r="F8" s="2" t="n">
        <f aca="false">COUNTIFS(Screens!$G$2:$G$153,A8,Screens!$E$2:$E$153,"state")</f>
        <v>5</v>
      </c>
      <c r="G8" s="2" t="n">
        <f aca="false">COUNTIFS(Screens!$G$2:$G$153,A8,Screens!$E$2:$E$153,"empty")+COUNTIFS(Screens!$G$2:$G$153,A8,Screens!$E$2:$E$153,"error")</f>
        <v>1</v>
      </c>
      <c r="H8" s="2" t="n">
        <f aca="false">COUNTIFS(Screens!$G$2:$G$153,A8,Screens!$P$2:$P$153,"Code + verified in prod")</f>
        <v>3</v>
      </c>
    </row>
    <row r="9" customFormat="false" ht="15" hidden="false" customHeight="false" outlineLevel="0" collapsed="false">
      <c r="A9" s="2" t="s">
        <v>29</v>
      </c>
      <c r="B9" s="2" t="n">
        <f aca="false">COUNTIF(Screens!$G$2:$G$153,A9)</f>
        <v>35</v>
      </c>
      <c r="C9" s="2" t="n">
        <f aca="false">COUNTIFS(Screens!$G$2:$G$153,A9,Screens!$E$2:$E$153,"page")</f>
        <v>0</v>
      </c>
      <c r="D9" s="2" t="n">
        <f aca="false">COUNTIFS(Screens!$G$2:$G$153,A9,Screens!$E$2:$E$153,"modal")+COUNTIFS(Screens!$G$2:$G$153,A9,Screens!$E$2:$E$153,"sheet")+COUNTIFS(Screens!$G$2:$G$153,A9,Screens!$E$2:$E$153,"drawer")</f>
        <v>0</v>
      </c>
      <c r="E9" s="2" t="n">
        <f aca="false">COUNTIFS(Screens!$G$2:$G$153,A9,Screens!$E$2:$E$153,"step")</f>
        <v>0</v>
      </c>
      <c r="F9" s="2" t="n">
        <f aca="false">COUNTIFS(Screens!$G$2:$G$153,A9,Screens!$E$2:$E$153,"state")</f>
        <v>8</v>
      </c>
      <c r="G9" s="2" t="n">
        <f aca="false">COUNTIFS(Screens!$G$2:$G$153,A9,Screens!$E$2:$E$153,"empty")+COUNTIFS(Screens!$G$2:$G$153,A9,Screens!$E$2:$E$153,"error")</f>
        <v>27</v>
      </c>
      <c r="H9" s="2" t="n">
        <f aca="false">COUNTIFS(Screens!$G$2:$G$153,A9,Screens!$P$2:$P$153,"Code + verified in prod")</f>
        <v>4</v>
      </c>
    </row>
    <row r="10" customFormat="false" ht="15" hidden="false" customHeight="false" outlineLevel="0" collapsed="false">
      <c r="A10" s="2" t="s">
        <v>88</v>
      </c>
      <c r="B10" s="2" t="n">
        <f aca="false">COUNTIF(Screens!$G$2:$G$153,A10)</f>
        <v>21</v>
      </c>
      <c r="C10" s="2" t="n">
        <f aca="false">COUNTIFS(Screens!$G$2:$G$153,A10,Screens!$E$2:$E$153,"page")</f>
        <v>0</v>
      </c>
      <c r="D10" s="2" t="n">
        <f aca="false">COUNTIFS(Screens!$G$2:$G$153,A10,Screens!$E$2:$E$153,"modal")+COUNTIFS(Screens!$G$2:$G$153,A10,Screens!$E$2:$E$153,"sheet")+COUNTIFS(Screens!$G$2:$G$153,A10,Screens!$E$2:$E$153,"drawer")</f>
        <v>0</v>
      </c>
      <c r="E10" s="2" t="n">
        <f aca="false">COUNTIFS(Screens!$G$2:$G$153,A10,Screens!$E$2:$E$153,"step")</f>
        <v>0</v>
      </c>
      <c r="F10" s="2" t="n">
        <f aca="false">COUNTIFS(Screens!$G$2:$G$153,A10,Screens!$E$2:$E$153,"state")</f>
        <v>3</v>
      </c>
      <c r="G10" s="2" t="n">
        <f aca="false">COUNTIFS(Screens!$G$2:$G$153,A10,Screens!$E$2:$E$153,"empty")+COUNTIFS(Screens!$G$2:$G$153,A10,Screens!$E$2:$E$153,"error")</f>
        <v>0</v>
      </c>
      <c r="H10" s="2" t="n">
        <f aca="false">COUNTIFS(Screens!$G$2:$G$153,A10,Screens!$P$2:$P$153,"Code + verified in prod")</f>
        <v>6</v>
      </c>
    </row>
    <row r="11" customFormat="false" ht="15" hidden="false" customHeight="false" outlineLevel="0" collapsed="false">
      <c r="A11" s="2" t="s">
        <v>421</v>
      </c>
      <c r="B11" s="2" t="n">
        <f aca="false">COUNTIF(Screens!$G$2:$G$153,A11)</f>
        <v>5</v>
      </c>
      <c r="C11" s="2" t="n">
        <f aca="false">COUNTIFS(Screens!$G$2:$G$153,A11,Screens!$E$2:$E$153,"page")</f>
        <v>4</v>
      </c>
      <c r="D11" s="2" t="n">
        <f aca="false">COUNTIFS(Screens!$G$2:$G$153,A11,Screens!$E$2:$E$153,"modal")+COUNTIFS(Screens!$G$2:$G$153,A11,Screens!$E$2:$E$153,"sheet")+COUNTIFS(Screens!$G$2:$G$153,A11,Screens!$E$2:$E$153,"drawer")</f>
        <v>0</v>
      </c>
      <c r="E11" s="2" t="n">
        <f aca="false">COUNTIFS(Screens!$G$2:$G$153,A11,Screens!$E$2:$E$153,"step")</f>
        <v>0</v>
      </c>
      <c r="F11" s="2" t="n">
        <f aca="false">COUNTIFS(Screens!$G$2:$G$153,A11,Screens!$E$2:$E$153,"state")</f>
        <v>0</v>
      </c>
      <c r="G11" s="2" t="n">
        <f aca="false">COUNTIFS(Screens!$G$2:$G$153,A11,Screens!$E$2:$E$153,"empty")+COUNTIFS(Screens!$G$2:$G$153,A11,Screens!$E$2:$E$153,"error")</f>
        <v>0</v>
      </c>
      <c r="H11" s="2" t="n">
        <f aca="false">COUNTIFS(Screens!$G$2:$G$153,A11,Screens!$P$2:$P$153,"Code + verified in prod")</f>
        <v>3</v>
      </c>
    </row>
    <row r="12" customFormat="false" ht="15" hidden="false" customHeight="false" outlineLevel="0" collapsed="false">
      <c r="A12" s="2" t="s">
        <v>1127</v>
      </c>
      <c r="B12" s="2" t="n">
        <f aca="false">SUM(B2:B11)</f>
        <v>152</v>
      </c>
      <c r="C12" s="2" t="n">
        <f aca="false">SUM(C2:C11)</f>
        <v>26</v>
      </c>
      <c r="D12" s="2" t="n">
        <f aca="false">SUM(D2:D11)</f>
        <v>15</v>
      </c>
      <c r="E12" s="2" t="n">
        <f aca="false">SUM(E2:E11)</f>
        <v>22</v>
      </c>
      <c r="F12" s="2" t="n">
        <f aca="false">SUM(F2:F11)</f>
        <v>40</v>
      </c>
      <c r="G12" s="2" t="n">
        <f aca="false">SUM(G2:G11)</f>
        <v>29</v>
      </c>
      <c r="H12" s="2" t="n">
        <f aca="false">SUM(H2:H11)</f>
        <v>23</v>
      </c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</row>
    <row r="14" customFormat="false" ht="15" hidden="false" customHeight="false" outlineLevel="0" collapsed="false">
      <c r="A14" s="2" t="s">
        <v>11</v>
      </c>
      <c r="B14" s="2" t="s">
        <v>1128</v>
      </c>
      <c r="C14" s="2"/>
      <c r="D14" s="2"/>
      <c r="E14" s="2"/>
      <c r="F14" s="2"/>
      <c r="G14" s="2"/>
      <c r="H14" s="2"/>
    </row>
    <row r="15" customFormat="false" ht="15" hidden="false" customHeight="false" outlineLevel="0" collapsed="false">
      <c r="A15" s="2" t="s">
        <v>42</v>
      </c>
      <c r="B15" s="2" t="n">
        <f aca="false">COUNTIF(Screens!$E$2:$E$153,"page")</f>
        <v>26</v>
      </c>
      <c r="C15" s="2"/>
      <c r="D15" s="2"/>
      <c r="E15" s="2"/>
      <c r="F15" s="2"/>
      <c r="G15" s="2"/>
      <c r="H15" s="2"/>
    </row>
    <row r="16" customFormat="false" ht="15" hidden="false" customHeight="false" outlineLevel="0" collapsed="false">
      <c r="A16" s="2" t="s">
        <v>750</v>
      </c>
      <c r="B16" s="2" t="n">
        <f aca="false">COUNTIF(Screens!$E$2:$E$153,"settings")</f>
        <v>1</v>
      </c>
      <c r="C16" s="2"/>
      <c r="D16" s="2"/>
      <c r="E16" s="2"/>
      <c r="F16" s="2"/>
      <c r="G16" s="2"/>
      <c r="H16" s="2"/>
    </row>
    <row r="17" customFormat="false" ht="15" hidden="false" customHeight="false" outlineLevel="0" collapsed="false">
      <c r="A17" s="2" t="s">
        <v>77</v>
      </c>
      <c r="B17" s="2" t="n">
        <f aca="false">COUNTIF(Screens!$E$2:$E$153,"state")</f>
        <v>40</v>
      </c>
      <c r="C17" s="2"/>
      <c r="D17" s="2"/>
      <c r="E17" s="2"/>
      <c r="F17" s="2"/>
      <c r="G17" s="2"/>
      <c r="H17" s="2"/>
    </row>
    <row r="18" customFormat="false" ht="15" hidden="false" customHeight="false" outlineLevel="0" collapsed="false">
      <c r="A18" s="2" t="s">
        <v>697</v>
      </c>
      <c r="B18" s="2" t="n">
        <f aca="false">COUNTIF(Screens!$E$2:$E$153,"step")</f>
        <v>22</v>
      </c>
      <c r="C18" s="2"/>
      <c r="D18" s="2"/>
      <c r="E18" s="2"/>
      <c r="F18" s="2"/>
      <c r="G18" s="2"/>
      <c r="H18" s="2"/>
    </row>
    <row r="19" customFormat="false" ht="15" hidden="false" customHeight="false" outlineLevel="0" collapsed="false">
      <c r="A19" s="2" t="s">
        <v>186</v>
      </c>
      <c r="B19" s="2" t="n">
        <f aca="false">COUNTIF(Screens!$E$2:$E$153,"modal")</f>
        <v>5</v>
      </c>
      <c r="C19" s="2"/>
      <c r="D19" s="2"/>
      <c r="E19" s="2"/>
      <c r="F19" s="2"/>
      <c r="G19" s="2"/>
      <c r="H19" s="2"/>
    </row>
    <row r="20" customFormat="false" ht="15" hidden="false" customHeight="false" outlineLevel="0" collapsed="false">
      <c r="A20" s="2" t="s">
        <v>169</v>
      </c>
      <c r="B20" s="2" t="n">
        <f aca="false">COUNTIF(Screens!$E$2:$E$153,"sheet")</f>
        <v>6</v>
      </c>
      <c r="C20" s="2"/>
      <c r="D20" s="2"/>
      <c r="E20" s="2"/>
      <c r="F20" s="2"/>
      <c r="G20" s="2"/>
      <c r="H20" s="2"/>
    </row>
    <row r="21" customFormat="false" ht="15" hidden="false" customHeight="false" outlineLevel="0" collapsed="false">
      <c r="A21" s="2" t="s">
        <v>306</v>
      </c>
      <c r="B21" s="2" t="n">
        <f aca="false">COUNTIF(Screens!$E$2:$E$153,"drawer")</f>
        <v>4</v>
      </c>
      <c r="C21" s="2"/>
      <c r="D21" s="2"/>
      <c r="E21" s="2"/>
      <c r="F21" s="2"/>
      <c r="G21" s="2"/>
      <c r="H21" s="2"/>
    </row>
    <row r="22" customFormat="false" ht="15" hidden="false" customHeight="false" outlineLevel="0" collapsed="false">
      <c r="A22" s="2" t="s">
        <v>63</v>
      </c>
      <c r="B22" s="2" t="n">
        <f aca="false">COUNTIF(Screens!$E$2:$E$153,"empty")</f>
        <v>13</v>
      </c>
      <c r="C22" s="2"/>
      <c r="D22" s="2"/>
      <c r="E22" s="2"/>
      <c r="F22" s="2"/>
      <c r="G22" s="2"/>
      <c r="H22" s="2"/>
    </row>
    <row r="23" customFormat="false" ht="15" hidden="false" customHeight="false" outlineLevel="0" collapsed="false">
      <c r="A23" s="2" t="s">
        <v>28</v>
      </c>
      <c r="B23" s="2" t="n">
        <f aca="false">COUNTIF(Screens!$E$2:$E$153,"error")</f>
        <v>16</v>
      </c>
      <c r="C23" s="2"/>
      <c r="D23" s="2"/>
      <c r="E23" s="2"/>
      <c r="F23" s="2"/>
      <c r="G23" s="2"/>
      <c r="H23" s="2"/>
    </row>
    <row r="24" customFormat="false" ht="15" hidden="false" customHeight="false" outlineLevel="0" collapsed="false">
      <c r="A24" s="2" t="s">
        <v>87</v>
      </c>
      <c r="B24" s="2" t="n">
        <f aca="false">COUNTIF(Screens!$E$2:$E$153,"redirect")</f>
        <v>15</v>
      </c>
      <c r="C24" s="2"/>
      <c r="D24" s="2"/>
      <c r="E24" s="2"/>
      <c r="F24" s="2"/>
      <c r="G24" s="2"/>
      <c r="H24" s="2"/>
    </row>
    <row r="25" customFormat="false" ht="15" hidden="false" customHeight="false" outlineLevel="0" collapsed="false">
      <c r="A25" s="2" t="s">
        <v>615</v>
      </c>
      <c r="B25" s="2" t="n">
        <f aca="false">COUNTIF(Screens!$E$2:$E$153,"api")</f>
        <v>4</v>
      </c>
      <c r="C25" s="2"/>
      <c r="D25" s="2"/>
      <c r="E25" s="2"/>
      <c r="F25" s="2"/>
      <c r="G25" s="2"/>
      <c r="H2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55"/>
    <col collapsed="false" customWidth="true" hidden="false" outlineLevel="0" max="11" min="5" style="0" width="13"/>
    <col collapsed="false" customWidth="true" hidden="false" outlineLevel="0" max="12" min="12" style="0" width="14"/>
  </cols>
  <sheetData>
    <row r="1" customFormat="false" ht="39.55" hidden="false" customHeight="false" outlineLevel="0" collapsed="false">
      <c r="A1" s="3" t="s">
        <v>1129</v>
      </c>
      <c r="B1" s="3" t="s">
        <v>8</v>
      </c>
      <c r="C1" s="3" t="s">
        <v>1130</v>
      </c>
      <c r="D1" s="3" t="s">
        <v>1131</v>
      </c>
      <c r="E1" s="3" t="s">
        <v>1132</v>
      </c>
      <c r="F1" s="3" t="s">
        <v>1133</v>
      </c>
      <c r="G1" s="3" t="s">
        <v>1134</v>
      </c>
      <c r="H1" s="3" t="s">
        <v>1135</v>
      </c>
      <c r="I1" s="3" t="s">
        <v>1136</v>
      </c>
      <c r="J1" s="3" t="s">
        <v>1137</v>
      </c>
      <c r="K1" s="3" t="s">
        <v>1138</v>
      </c>
      <c r="L1" s="3" t="s">
        <v>22</v>
      </c>
    </row>
    <row r="2" customFormat="false" ht="15" hidden="false" customHeight="false" outlineLevel="0" collapsed="false">
      <c r="A2" s="2"/>
      <c r="B2" s="2" t="s">
        <v>1139</v>
      </c>
      <c r="C2" s="2"/>
      <c r="D2" s="2"/>
      <c r="E2" s="2" t="n">
        <v>390</v>
      </c>
      <c r="F2" s="2" t="n">
        <v>768</v>
      </c>
      <c r="G2" s="2" t="n">
        <v>1024</v>
      </c>
      <c r="H2" s="2" t="n">
        <v>1280</v>
      </c>
      <c r="I2" s="2" t="n">
        <v>1440</v>
      </c>
      <c r="J2" s="2" t="n">
        <v>1728</v>
      </c>
      <c r="K2" s="2" t="n">
        <v>2560</v>
      </c>
      <c r="L2" s="2"/>
    </row>
    <row r="3" customFormat="false" ht="46.25" hidden="false" customHeight="false" outlineLevel="0" collapsed="false">
      <c r="A3" s="2" t="s">
        <v>1140</v>
      </c>
      <c r="B3" s="2" t="s">
        <v>96</v>
      </c>
      <c r="C3" s="2" t="n">
        <v>1024</v>
      </c>
      <c r="D3" s="2" t="s">
        <v>1141</v>
      </c>
      <c r="E3" s="4" t="n">
        <f aca="false">MIN(E$2-32,$C3)/E$2</f>
        <v>0.917948717948718</v>
      </c>
      <c r="F3" s="4" t="n">
        <f aca="false">MIN(F$2-32,$C3)/F$2</f>
        <v>0.958333333333333</v>
      </c>
      <c r="G3" s="4" t="n">
        <f aca="false">MIN(G$2-32,$C3)/G$2</f>
        <v>0.96875</v>
      </c>
      <c r="H3" s="4" t="n">
        <f aca="false">MIN(H$2-32,$C3)/H$2</f>
        <v>0.8</v>
      </c>
      <c r="I3" s="4" t="n">
        <f aca="false">MIN(I$2-32,$C3)/I$2</f>
        <v>0.711111111111111</v>
      </c>
      <c r="J3" s="4" t="n">
        <f aca="false">MIN(J$2-32,$C3)/J$2</f>
        <v>0.592592592592593</v>
      </c>
      <c r="K3" s="4" t="n">
        <f aca="false">MIN(K$2-32,$C3)/K$2</f>
        <v>0.4</v>
      </c>
      <c r="L3" s="2" t="s">
        <v>1142</v>
      </c>
    </row>
    <row r="4" customFormat="false" ht="15" hidden="false" customHeight="false" outlineLevel="0" collapsed="false">
      <c r="A4" s="2" t="s">
        <v>1143</v>
      </c>
      <c r="B4" s="2" t="s">
        <v>96</v>
      </c>
      <c r="C4" s="2" t="s">
        <v>34</v>
      </c>
      <c r="D4" s="2" t="s">
        <v>1144</v>
      </c>
      <c r="E4" s="4" t="n">
        <f aca="false">(E$2-32)/E$2</f>
        <v>0.917948717948718</v>
      </c>
      <c r="F4" s="4" t="n">
        <f aca="false">(F$2-32)/F$2</f>
        <v>0.958333333333333</v>
      </c>
      <c r="G4" s="4" t="n">
        <f aca="false">(G$2-32)/G$2</f>
        <v>0.96875</v>
      </c>
      <c r="H4" s="4" t="n">
        <f aca="false">(H$2-32)/H$2</f>
        <v>0.975</v>
      </c>
      <c r="I4" s="4" t="n">
        <f aca="false">(I$2-32)/I$2</f>
        <v>0.977777777777778</v>
      </c>
      <c r="J4" s="4" t="n">
        <f aca="false">(J$2-32)/J$2</f>
        <v>0.981481481481482</v>
      </c>
      <c r="K4" s="4" t="n">
        <f aca="false">(K$2-32)/K$2</f>
        <v>0.9875</v>
      </c>
      <c r="L4" s="2" t="s">
        <v>1142</v>
      </c>
    </row>
    <row r="5" customFormat="false" ht="15" hidden="false" customHeight="false" outlineLevel="0" collapsed="false">
      <c r="A5" s="2" t="s">
        <v>133</v>
      </c>
      <c r="B5" s="2" t="s">
        <v>1145</v>
      </c>
      <c r="C5" s="2" t="s">
        <v>34</v>
      </c>
      <c r="D5" s="2" t="s">
        <v>1146</v>
      </c>
      <c r="E5" s="4" t="n">
        <f aca="false">(E$2-32)/E$2</f>
        <v>0.917948717948718</v>
      </c>
      <c r="F5" s="4" t="n">
        <f aca="false">(F$2-32)/F$2</f>
        <v>0.958333333333333</v>
      </c>
      <c r="G5" s="4" t="n">
        <f aca="false">(G$2-32)/G$2</f>
        <v>0.96875</v>
      </c>
      <c r="H5" s="4" t="n">
        <f aca="false">(H$2-32)/H$2</f>
        <v>0.975</v>
      </c>
      <c r="I5" s="4" t="n">
        <f aca="false">(I$2-32)/I$2</f>
        <v>0.977777777777778</v>
      </c>
      <c r="J5" s="4" t="n">
        <f aca="false">(J$2-32)/J$2</f>
        <v>0.981481481481482</v>
      </c>
      <c r="K5" s="4" t="n">
        <f aca="false">(K$2-32)/K$2</f>
        <v>0.9875</v>
      </c>
      <c r="L5" s="2" t="s">
        <v>51</v>
      </c>
    </row>
    <row r="6" customFormat="false" ht="15" hidden="false" customHeight="false" outlineLevel="0" collapsed="false">
      <c r="A6" s="2" t="s">
        <v>1147</v>
      </c>
      <c r="B6" s="2" t="s">
        <v>260</v>
      </c>
      <c r="C6" s="2" t="n">
        <v>768</v>
      </c>
      <c r="D6" s="2" t="s">
        <v>1148</v>
      </c>
      <c r="E6" s="4" t="n">
        <f aca="false">MIN(E$2-32,$C6)/E$2</f>
        <v>0.917948717948718</v>
      </c>
      <c r="F6" s="4" t="n">
        <f aca="false">MIN(F$2-32,$C6)/F$2</f>
        <v>0.958333333333333</v>
      </c>
      <c r="G6" s="4" t="n">
        <f aca="false">MIN(G$2-32,$C6)/G$2</f>
        <v>0.75</v>
      </c>
      <c r="H6" s="4" t="n">
        <f aca="false">MIN(H$2-32,$C6)/H$2</f>
        <v>0.6</v>
      </c>
      <c r="I6" s="4" t="n">
        <f aca="false">MIN(I$2-32,$C6)/I$2</f>
        <v>0.533333333333333</v>
      </c>
      <c r="J6" s="4" t="n">
        <f aca="false">MIN(J$2-32,$C6)/J$2</f>
        <v>0.444444444444444</v>
      </c>
      <c r="K6" s="4" t="n">
        <f aca="false">MIN(K$2-32,$C6)/K$2</f>
        <v>0.3</v>
      </c>
      <c r="L6" s="2" t="s">
        <v>1142</v>
      </c>
    </row>
    <row r="7" customFormat="false" ht="15" hidden="false" customHeight="false" outlineLevel="0" collapsed="false">
      <c r="A7" s="2" t="s">
        <v>1149</v>
      </c>
      <c r="B7" s="2" t="s">
        <v>356</v>
      </c>
      <c r="C7" s="2" t="n">
        <v>768</v>
      </c>
      <c r="D7" s="2" t="s">
        <v>1150</v>
      </c>
      <c r="E7" s="4" t="n">
        <f aca="false">MIN(E$2-32,$C7)/E$2</f>
        <v>0.917948717948718</v>
      </c>
      <c r="F7" s="4" t="n">
        <f aca="false">MIN(F$2-32,$C7)/F$2</f>
        <v>0.958333333333333</v>
      </c>
      <c r="G7" s="4" t="n">
        <f aca="false">MIN(G$2-32,$C7)/G$2</f>
        <v>0.75</v>
      </c>
      <c r="H7" s="4" t="n">
        <f aca="false">MIN(H$2-32,$C7)/H$2</f>
        <v>0.6</v>
      </c>
      <c r="I7" s="4" t="n">
        <f aca="false">MIN(I$2-32,$C7)/I$2</f>
        <v>0.533333333333333</v>
      </c>
      <c r="J7" s="4" t="n">
        <f aca="false">MIN(J$2-32,$C7)/J$2</f>
        <v>0.444444444444444</v>
      </c>
      <c r="K7" s="4" t="n">
        <f aca="false">MIN(K$2-32,$C7)/K$2</f>
        <v>0.3</v>
      </c>
      <c r="L7" s="2" t="s">
        <v>51</v>
      </c>
    </row>
    <row r="8" customFormat="false" ht="15" hidden="false" customHeight="false" outlineLevel="0" collapsed="false">
      <c r="A8" s="2" t="s">
        <v>1151</v>
      </c>
      <c r="B8" s="2" t="s">
        <v>1152</v>
      </c>
      <c r="C8" s="2" t="n">
        <v>672</v>
      </c>
      <c r="D8" s="2" t="s">
        <v>1153</v>
      </c>
      <c r="E8" s="4" t="n">
        <f aca="false">MIN(E$2-32,$C8)/E$2</f>
        <v>0.917948717948718</v>
      </c>
      <c r="F8" s="4" t="n">
        <f aca="false">MIN(F$2-32,$C8)/F$2</f>
        <v>0.875</v>
      </c>
      <c r="G8" s="4" t="n">
        <f aca="false">MIN(G$2-32,$C8)/G$2</f>
        <v>0.65625</v>
      </c>
      <c r="H8" s="4" t="n">
        <f aca="false">MIN(H$2-32,$C8)/H$2</f>
        <v>0.525</v>
      </c>
      <c r="I8" s="4" t="n">
        <f aca="false">MIN(I$2-32,$C8)/I$2</f>
        <v>0.466666666666667</v>
      </c>
      <c r="J8" s="4" t="n">
        <f aca="false">MIN(J$2-32,$C8)/J$2</f>
        <v>0.388888888888889</v>
      </c>
      <c r="K8" s="4" t="n">
        <f aca="false">MIN(K$2-32,$C8)/K$2</f>
        <v>0.2625</v>
      </c>
      <c r="L8" s="2" t="s">
        <v>51</v>
      </c>
    </row>
    <row r="9" customFormat="false" ht="15" hidden="false" customHeight="false" outlineLevel="0" collapsed="false">
      <c r="A9" s="2" t="s">
        <v>1154</v>
      </c>
      <c r="B9" s="2" t="s">
        <v>462</v>
      </c>
      <c r="C9" s="2" t="n">
        <v>768</v>
      </c>
      <c r="D9" s="2" t="s">
        <v>1155</v>
      </c>
      <c r="E9" s="4" t="n">
        <f aca="false">MIN(E$2-32,$C9)/E$2</f>
        <v>0.917948717948718</v>
      </c>
      <c r="F9" s="4" t="n">
        <f aca="false">MIN(F$2-32,$C9)/F$2</f>
        <v>0.958333333333333</v>
      </c>
      <c r="G9" s="4" t="n">
        <f aca="false">MIN(G$2-32,$C9)/G$2</f>
        <v>0.75</v>
      </c>
      <c r="H9" s="4" t="n">
        <f aca="false">MIN(H$2-32,$C9)/H$2</f>
        <v>0.6</v>
      </c>
      <c r="I9" s="4" t="n">
        <f aca="false">MIN(I$2-32,$C9)/I$2</f>
        <v>0.533333333333333</v>
      </c>
      <c r="J9" s="4" t="n">
        <f aca="false">MIN(J$2-32,$C9)/J$2</f>
        <v>0.444444444444444</v>
      </c>
      <c r="K9" s="4" t="n">
        <f aca="false">MIN(K$2-32,$C9)/K$2</f>
        <v>0.3</v>
      </c>
      <c r="L9" s="2" t="s">
        <v>51</v>
      </c>
    </row>
    <row r="10" customFormat="false" ht="15" hidden="false" customHeight="false" outlineLevel="0" collapsed="false">
      <c r="A10" s="2" t="s">
        <v>420</v>
      </c>
      <c r="B10" s="2" t="s">
        <v>419</v>
      </c>
      <c r="C10" s="2" t="n">
        <v>896</v>
      </c>
      <c r="D10" s="2" t="s">
        <v>1156</v>
      </c>
      <c r="E10" s="4" t="n">
        <f aca="false">MIN(E$2-32,$C10)/E$2</f>
        <v>0.917948717948718</v>
      </c>
      <c r="F10" s="4" t="n">
        <f aca="false">MIN(F$2-32,$C10)/F$2</f>
        <v>0.958333333333333</v>
      </c>
      <c r="G10" s="4" t="n">
        <f aca="false">MIN(G$2-32,$C10)/G$2</f>
        <v>0.875</v>
      </c>
      <c r="H10" s="4" t="n">
        <f aca="false">MIN(H$2-32,$C10)/H$2</f>
        <v>0.7</v>
      </c>
      <c r="I10" s="4" t="n">
        <f aca="false">MIN(I$2-32,$C10)/I$2</f>
        <v>0.622222222222222</v>
      </c>
      <c r="J10" s="4" t="n">
        <f aca="false">MIN(J$2-32,$C10)/J$2</f>
        <v>0.518518518518519</v>
      </c>
      <c r="K10" s="4" t="n">
        <f aca="false">MIN(K$2-32,$C10)/K$2</f>
        <v>0.35</v>
      </c>
      <c r="L10" s="2" t="s">
        <v>51</v>
      </c>
    </row>
    <row r="11" customFormat="false" ht="15" hidden="false" customHeight="false" outlineLevel="0" collapsed="false">
      <c r="A11" s="2" t="s">
        <v>1157</v>
      </c>
      <c r="B11" s="2" t="s">
        <v>339</v>
      </c>
      <c r="C11" s="2" t="n">
        <v>768</v>
      </c>
      <c r="D11" s="2" t="s">
        <v>1158</v>
      </c>
      <c r="E11" s="4" t="n">
        <f aca="false">MIN(E$2-32,$C11)/E$2</f>
        <v>0.917948717948718</v>
      </c>
      <c r="F11" s="4" t="n">
        <f aca="false">MIN(F$2-32,$C11)/F$2</f>
        <v>0.958333333333333</v>
      </c>
      <c r="G11" s="4" t="n">
        <f aca="false">MIN(G$2-32,$C11)/G$2</f>
        <v>0.75</v>
      </c>
      <c r="H11" s="4" t="n">
        <f aca="false">MIN(H$2-32,$C11)/H$2</f>
        <v>0.6</v>
      </c>
      <c r="I11" s="4" t="n">
        <f aca="false">MIN(I$2-32,$C11)/I$2</f>
        <v>0.533333333333333</v>
      </c>
      <c r="J11" s="4" t="n">
        <f aca="false">MIN(J$2-32,$C11)/J$2</f>
        <v>0.444444444444444</v>
      </c>
      <c r="K11" s="4" t="n">
        <f aca="false">MIN(K$2-32,$C11)/K$2</f>
        <v>0.3</v>
      </c>
      <c r="L11" s="2" t="s">
        <v>1142</v>
      </c>
    </row>
    <row r="12" customFormat="false" ht="15" hidden="false" customHeight="false" outlineLevel="0" collapsed="false">
      <c r="A12" s="2" t="s">
        <v>1159</v>
      </c>
      <c r="B12" s="2" t="s">
        <v>1160</v>
      </c>
      <c r="C12" s="2" t="n">
        <v>384</v>
      </c>
      <c r="D12" s="2" t="s">
        <v>1161</v>
      </c>
      <c r="E12" s="4" t="n">
        <f aca="false">MIN(E$2-32,$C12)/E$2</f>
        <v>0.917948717948718</v>
      </c>
      <c r="F12" s="4" t="n">
        <f aca="false">MIN(F$2-32,$C12)/F$2</f>
        <v>0.5</v>
      </c>
      <c r="G12" s="4" t="n">
        <f aca="false">MIN(G$2-32,$C12)/G$2</f>
        <v>0.375</v>
      </c>
      <c r="H12" s="4" t="n">
        <f aca="false">MIN(H$2-32,$C12)/H$2</f>
        <v>0.3</v>
      </c>
      <c r="I12" s="4" t="n">
        <f aca="false">MIN(I$2-32,$C12)/I$2</f>
        <v>0.266666666666667</v>
      </c>
      <c r="J12" s="4" t="n">
        <f aca="false">MIN(J$2-32,$C12)/J$2</f>
        <v>0.222222222222222</v>
      </c>
      <c r="K12" s="4" t="n">
        <f aca="false">MIN(K$2-32,$C12)/K$2</f>
        <v>0.15</v>
      </c>
      <c r="L12" s="2" t="s">
        <v>1142</v>
      </c>
    </row>
    <row r="13" customFormat="false" ht="15" hidden="false" customHeight="false" outlineLevel="0" collapsed="false">
      <c r="A13" s="2" t="s">
        <v>1162</v>
      </c>
      <c r="B13" s="2" t="s">
        <v>787</v>
      </c>
      <c r="C13" s="2" t="n">
        <v>448</v>
      </c>
      <c r="D13" s="2" t="s">
        <v>1163</v>
      </c>
      <c r="E13" s="4" t="n">
        <f aca="false">MIN(E$2-32,$C13)/E$2</f>
        <v>0.917948717948718</v>
      </c>
      <c r="F13" s="4" t="n">
        <f aca="false">MIN(F$2-32,$C13)/F$2</f>
        <v>0.583333333333333</v>
      </c>
      <c r="G13" s="4" t="n">
        <f aca="false">MIN(G$2-32,$C13)/G$2</f>
        <v>0.4375</v>
      </c>
      <c r="H13" s="4" t="n">
        <f aca="false">MIN(H$2-32,$C13)/H$2</f>
        <v>0.35</v>
      </c>
      <c r="I13" s="4" t="n">
        <f aca="false">MIN(I$2-32,$C13)/I$2</f>
        <v>0.311111111111111</v>
      </c>
      <c r="J13" s="4" t="n">
        <f aca="false">MIN(J$2-32,$C13)/J$2</f>
        <v>0.259259259259259</v>
      </c>
      <c r="K13" s="4" t="n">
        <f aca="false">MIN(K$2-32,$C13)/K$2</f>
        <v>0.175</v>
      </c>
      <c r="L13" s="2" t="s">
        <v>51</v>
      </c>
    </row>
    <row r="14" customFormat="false" ht="15" hidden="false" customHeight="false" outlineLevel="0" collapsed="false">
      <c r="A14" s="2" t="s">
        <v>853</v>
      </c>
      <c r="B14" s="2" t="s">
        <v>510</v>
      </c>
      <c r="C14" s="2" t="n">
        <v>448</v>
      </c>
      <c r="D14" s="2" t="s">
        <v>1163</v>
      </c>
      <c r="E14" s="4" t="n">
        <f aca="false">MIN(E$2-32,$C14)/E$2</f>
        <v>0.917948717948718</v>
      </c>
      <c r="F14" s="4" t="n">
        <f aca="false">MIN(F$2-32,$C14)/F$2</f>
        <v>0.583333333333333</v>
      </c>
      <c r="G14" s="4" t="n">
        <f aca="false">MIN(G$2-32,$C14)/G$2</f>
        <v>0.4375</v>
      </c>
      <c r="H14" s="4" t="n">
        <f aca="false">MIN(H$2-32,$C14)/H$2</f>
        <v>0.35</v>
      </c>
      <c r="I14" s="4" t="n">
        <f aca="false">MIN(I$2-32,$C14)/I$2</f>
        <v>0.311111111111111</v>
      </c>
      <c r="J14" s="4" t="n">
        <f aca="false">MIN(J$2-32,$C14)/J$2</f>
        <v>0.259259259259259</v>
      </c>
      <c r="K14" s="4" t="n">
        <f aca="false">MIN(K$2-32,$C14)/K$2</f>
        <v>0.175</v>
      </c>
      <c r="L14" s="2" t="s">
        <v>1142</v>
      </c>
    </row>
    <row r="15" customFormat="false" ht="15" hidden="false" customHeight="false" outlineLevel="0" collapsed="false">
      <c r="A15" s="2" t="s">
        <v>838</v>
      </c>
      <c r="B15" s="2" t="s">
        <v>510</v>
      </c>
      <c r="C15" s="2" t="n">
        <v>768</v>
      </c>
      <c r="D15" s="2" t="s">
        <v>1164</v>
      </c>
      <c r="E15" s="4" t="n">
        <f aca="false">MIN(E$2-32,$C15)/E$2</f>
        <v>0.917948717948718</v>
      </c>
      <c r="F15" s="4" t="n">
        <f aca="false">MIN(F$2-32,$C15)/F$2</f>
        <v>0.958333333333333</v>
      </c>
      <c r="G15" s="4" t="n">
        <f aca="false">MIN(G$2-32,$C15)/G$2</f>
        <v>0.75</v>
      </c>
      <c r="H15" s="4" t="n">
        <f aca="false">MIN(H$2-32,$C15)/H$2</f>
        <v>0.6</v>
      </c>
      <c r="I15" s="4" t="n">
        <f aca="false">MIN(I$2-32,$C15)/I$2</f>
        <v>0.533333333333333</v>
      </c>
      <c r="J15" s="4" t="n">
        <f aca="false">MIN(J$2-32,$C15)/J$2</f>
        <v>0.444444444444444</v>
      </c>
      <c r="K15" s="4" t="n">
        <f aca="false">MIN(K$2-32,$C15)/K$2</f>
        <v>0.3</v>
      </c>
      <c r="L15" s="2" t="s">
        <v>51</v>
      </c>
    </row>
    <row r="16" customFormat="false" ht="15" hidden="false" customHeight="false" outlineLevel="0" collapsed="false">
      <c r="A16" s="2" t="s">
        <v>1165</v>
      </c>
      <c r="B16" s="2" t="s">
        <v>986</v>
      </c>
      <c r="C16" s="2" t="n">
        <v>768</v>
      </c>
      <c r="D16" s="2" t="s">
        <v>1166</v>
      </c>
      <c r="E16" s="4" t="n">
        <f aca="false">MIN(E$2-32,$C16)/E$2</f>
        <v>0.917948717948718</v>
      </c>
      <c r="F16" s="4" t="n">
        <f aca="false">MIN(F$2-32,$C16)/F$2</f>
        <v>0.958333333333333</v>
      </c>
      <c r="G16" s="4" t="n">
        <f aca="false">MIN(G$2-32,$C16)/G$2</f>
        <v>0.75</v>
      </c>
      <c r="H16" s="4" t="n">
        <f aca="false">MIN(H$2-32,$C16)/H$2</f>
        <v>0.6</v>
      </c>
      <c r="I16" s="4" t="n">
        <f aca="false">MIN(I$2-32,$C16)/I$2</f>
        <v>0.533333333333333</v>
      </c>
      <c r="J16" s="4" t="n">
        <f aca="false">MIN(J$2-32,$C16)/J$2</f>
        <v>0.444444444444444</v>
      </c>
      <c r="K16" s="4" t="n">
        <f aca="false">MIN(K$2-32,$C16)/K$2</f>
        <v>0.3</v>
      </c>
      <c r="L16" s="2" t="s">
        <v>51</v>
      </c>
    </row>
    <row r="17" customFormat="false" ht="15" hidden="false" customHeight="false" outlineLevel="0" collapsed="false">
      <c r="A17" s="2" t="s">
        <v>960</v>
      </c>
      <c r="B17" s="2" t="s">
        <v>959</v>
      </c>
      <c r="C17" s="2" t="n">
        <v>672</v>
      </c>
      <c r="D17" s="2" t="s">
        <v>1167</v>
      </c>
      <c r="E17" s="4" t="n">
        <f aca="false">MIN(E$2-32,$C17)/E$2</f>
        <v>0.917948717948718</v>
      </c>
      <c r="F17" s="4" t="n">
        <f aca="false">MIN(F$2-32,$C17)/F$2</f>
        <v>0.875</v>
      </c>
      <c r="G17" s="4" t="n">
        <f aca="false">MIN(G$2-32,$C17)/G$2</f>
        <v>0.65625</v>
      </c>
      <c r="H17" s="4" t="n">
        <f aca="false">MIN(H$2-32,$C17)/H$2</f>
        <v>0.525</v>
      </c>
      <c r="I17" s="4" t="n">
        <f aca="false">MIN(I$2-32,$C17)/I$2</f>
        <v>0.466666666666667</v>
      </c>
      <c r="J17" s="4" t="n">
        <f aca="false">MIN(J$2-32,$C17)/J$2</f>
        <v>0.388888888888889</v>
      </c>
      <c r="K17" s="4" t="n">
        <f aca="false">MIN(K$2-32,$C17)/K$2</f>
        <v>0.2625</v>
      </c>
      <c r="L17" s="2" t="s">
        <v>51</v>
      </c>
    </row>
    <row r="18" customFormat="false" ht="15" hidden="false" customHeight="false" outlineLevel="0" collapsed="false">
      <c r="A18" s="2" t="s">
        <v>749</v>
      </c>
      <c r="B18" s="2" t="s">
        <v>748</v>
      </c>
      <c r="C18" s="2" t="n">
        <v>576</v>
      </c>
      <c r="D18" s="2" t="s">
        <v>1167</v>
      </c>
      <c r="E18" s="4" t="n">
        <f aca="false">MIN(E$2-32,$C18)/E$2</f>
        <v>0.917948717948718</v>
      </c>
      <c r="F18" s="4" t="n">
        <f aca="false">MIN(F$2-32,$C18)/F$2</f>
        <v>0.75</v>
      </c>
      <c r="G18" s="4" t="n">
        <f aca="false">MIN(G$2-32,$C18)/G$2</f>
        <v>0.5625</v>
      </c>
      <c r="H18" s="4" t="n">
        <f aca="false">MIN(H$2-32,$C18)/H$2</f>
        <v>0.45</v>
      </c>
      <c r="I18" s="4" t="n">
        <f aca="false">MIN(I$2-32,$C18)/I$2</f>
        <v>0.4</v>
      </c>
      <c r="J18" s="4" t="n">
        <f aca="false">MIN(J$2-32,$C18)/J$2</f>
        <v>0.333333333333333</v>
      </c>
      <c r="K18" s="4" t="n">
        <f aca="false">MIN(K$2-32,$C18)/K$2</f>
        <v>0.225</v>
      </c>
      <c r="L18" s="2" t="s">
        <v>51</v>
      </c>
    </row>
    <row r="19" customFormat="false" ht="15" hidden="false" customHeight="false" outlineLevel="0" collapsed="false">
      <c r="A19" s="2" t="s">
        <v>1168</v>
      </c>
      <c r="B19" s="2" t="s">
        <v>585</v>
      </c>
      <c r="C19" s="2" t="n">
        <v>576</v>
      </c>
      <c r="D19" s="2" t="s">
        <v>1169</v>
      </c>
      <c r="E19" s="4" t="n">
        <f aca="false">MIN(E$2-32,$C19)/E$2</f>
        <v>0.917948717948718</v>
      </c>
      <c r="F19" s="4" t="n">
        <f aca="false">MIN(F$2-32,$C19)/F$2</f>
        <v>0.75</v>
      </c>
      <c r="G19" s="4" t="n">
        <f aca="false">MIN(G$2-32,$C19)/G$2</f>
        <v>0.5625</v>
      </c>
      <c r="H19" s="4" t="n">
        <f aca="false">MIN(H$2-32,$C19)/H$2</f>
        <v>0.45</v>
      </c>
      <c r="I19" s="4" t="n">
        <f aca="false">MIN(I$2-32,$C19)/I$2</f>
        <v>0.4</v>
      </c>
      <c r="J19" s="4" t="n">
        <f aca="false">MIN(J$2-32,$C19)/J$2</f>
        <v>0.333333333333333</v>
      </c>
      <c r="K19" s="4" t="n">
        <f aca="false">MIN(K$2-32,$C19)/K$2</f>
        <v>0.225</v>
      </c>
      <c r="L19" s="2" t="s">
        <v>51</v>
      </c>
    </row>
    <row r="20" customFormat="false" ht="15" hidden="false" customHeight="false" outlineLevel="0" collapsed="false">
      <c r="A20" s="2" t="s">
        <v>1170</v>
      </c>
      <c r="B20" s="2" t="s">
        <v>1171</v>
      </c>
      <c r="C20" s="2" t="n">
        <v>512</v>
      </c>
      <c r="D20" s="2" t="s">
        <v>1172</v>
      </c>
      <c r="E20" s="4" t="n">
        <f aca="false">MIN(E$2-32,$C20)/E$2</f>
        <v>0.917948717948718</v>
      </c>
      <c r="F20" s="4" t="n">
        <f aca="false">MIN(F$2-32,$C20)/F$2</f>
        <v>0.666666666666667</v>
      </c>
      <c r="G20" s="4" t="n">
        <f aca="false">MIN(G$2-32,$C20)/G$2</f>
        <v>0.5</v>
      </c>
      <c r="H20" s="4" t="n">
        <f aca="false">MIN(H$2-32,$C20)/H$2</f>
        <v>0.4</v>
      </c>
      <c r="I20" s="4" t="n">
        <f aca="false">MIN(I$2-32,$C20)/I$2</f>
        <v>0.355555555555556</v>
      </c>
      <c r="J20" s="4" t="n">
        <f aca="false">MIN(J$2-32,$C20)/J$2</f>
        <v>0.296296296296296</v>
      </c>
      <c r="K20" s="4" t="n">
        <f aca="false">MIN(K$2-32,$C20)/K$2</f>
        <v>0.2</v>
      </c>
      <c r="L20" s="2" t="s">
        <v>51</v>
      </c>
    </row>
    <row r="21" customFormat="false" ht="15" hidden="false" customHeight="false" outlineLevel="0" collapsed="false">
      <c r="A21" s="2" t="s">
        <v>168</v>
      </c>
      <c r="B21" s="2" t="s">
        <v>1173</v>
      </c>
      <c r="C21" s="2" t="n">
        <v>384</v>
      </c>
      <c r="D21" s="2" t="s">
        <v>1174</v>
      </c>
      <c r="E21" s="4" t="n">
        <f aca="false">MIN(E$2-32,$C21)/E$2</f>
        <v>0.917948717948718</v>
      </c>
      <c r="F21" s="4" t="n">
        <f aca="false">MIN(F$2-32,$C21)/F$2</f>
        <v>0.5</v>
      </c>
      <c r="G21" s="4" t="n">
        <f aca="false">MIN(G$2-32,$C21)/G$2</f>
        <v>0.375</v>
      </c>
      <c r="H21" s="4" t="n">
        <f aca="false">MIN(H$2-32,$C21)/H$2</f>
        <v>0.3</v>
      </c>
      <c r="I21" s="4" t="n">
        <f aca="false">MIN(I$2-32,$C21)/I$2</f>
        <v>0.266666666666667</v>
      </c>
      <c r="J21" s="4" t="n">
        <f aca="false">MIN(J$2-32,$C21)/J$2</f>
        <v>0.222222222222222</v>
      </c>
      <c r="K21" s="4" t="n">
        <f aca="false">MIN(K$2-32,$C21)/K$2</f>
        <v>0.15</v>
      </c>
      <c r="L21" s="2" t="s">
        <v>51</v>
      </c>
    </row>
    <row r="22" customFormat="false" ht="15" hidden="false" customHeight="false" outlineLevel="0" collapsed="false">
      <c r="A22" s="2" t="s">
        <v>1175</v>
      </c>
      <c r="B22" s="2" t="s">
        <v>1173</v>
      </c>
      <c r="C22" s="2" t="n">
        <v>448</v>
      </c>
      <c r="D22" s="2" t="s">
        <v>1176</v>
      </c>
      <c r="E22" s="4" t="n">
        <f aca="false">MIN(E$2-32,$C22)/E$2</f>
        <v>0.917948717948718</v>
      </c>
      <c r="F22" s="4" t="n">
        <f aca="false">MIN(F$2-32,$C22)/F$2</f>
        <v>0.583333333333333</v>
      </c>
      <c r="G22" s="4" t="n">
        <f aca="false">MIN(G$2-32,$C22)/G$2</f>
        <v>0.4375</v>
      </c>
      <c r="H22" s="4" t="n">
        <f aca="false">MIN(H$2-32,$C22)/H$2</f>
        <v>0.35</v>
      </c>
      <c r="I22" s="4" t="n">
        <f aca="false">MIN(I$2-32,$C22)/I$2</f>
        <v>0.311111111111111</v>
      </c>
      <c r="J22" s="4" t="n">
        <f aca="false">MIN(J$2-32,$C22)/J$2</f>
        <v>0.259259259259259</v>
      </c>
      <c r="K22" s="4" t="n">
        <f aca="false">MIN(K$2-32,$C22)/K$2</f>
        <v>0.175</v>
      </c>
      <c r="L22" s="2" t="s">
        <v>51</v>
      </c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customFormat="false" ht="79.85" hidden="false" customHeight="false" outlineLevel="0" collapsed="false">
      <c r="A24" s="2" t="s">
        <v>1177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  <col collapsed="false" customWidth="true" hidden="false" outlineLevel="0" max="3" min="3" style="0" width="28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3" t="s">
        <v>1178</v>
      </c>
      <c r="B1" s="3" t="s">
        <v>1179</v>
      </c>
      <c r="C1" s="3" t="s">
        <v>1180</v>
      </c>
      <c r="D1" s="3" t="s">
        <v>22</v>
      </c>
    </row>
    <row r="2" customFormat="false" ht="23.85" hidden="false" customHeight="false" outlineLevel="0" collapsed="false">
      <c r="A2" s="2" t="s">
        <v>1181</v>
      </c>
      <c r="B2" s="2" t="s">
        <v>1182</v>
      </c>
      <c r="C2" s="2" t="s">
        <v>1183</v>
      </c>
      <c r="D2" s="2" t="s">
        <v>1184</v>
      </c>
    </row>
    <row r="3" customFormat="false" ht="23.85" hidden="false" customHeight="false" outlineLevel="0" collapsed="false">
      <c r="A3" s="2" t="s">
        <v>1185</v>
      </c>
      <c r="B3" s="2" t="s">
        <v>1186</v>
      </c>
      <c r="C3" s="2" t="s">
        <v>96</v>
      </c>
      <c r="D3" s="2" t="s">
        <v>1184</v>
      </c>
    </row>
    <row r="4" customFormat="false" ht="23.85" hidden="false" customHeight="false" outlineLevel="0" collapsed="false">
      <c r="A4" s="2" t="s">
        <v>1187</v>
      </c>
      <c r="B4" s="2" t="s">
        <v>1188</v>
      </c>
      <c r="C4" s="2" t="s">
        <v>96</v>
      </c>
      <c r="D4" s="2" t="s">
        <v>1142</v>
      </c>
    </row>
    <row r="5" customFormat="false" ht="23.85" hidden="false" customHeight="false" outlineLevel="0" collapsed="false">
      <c r="A5" s="2" t="s">
        <v>1189</v>
      </c>
      <c r="B5" s="2" t="s">
        <v>1190</v>
      </c>
      <c r="C5" s="2" t="s">
        <v>1191</v>
      </c>
      <c r="D5" s="2" t="s">
        <v>51</v>
      </c>
    </row>
    <row r="6" customFormat="false" ht="23.85" hidden="false" customHeight="false" outlineLevel="0" collapsed="false">
      <c r="A6" s="2" t="s">
        <v>1192</v>
      </c>
      <c r="B6" s="2" t="s">
        <v>1193</v>
      </c>
      <c r="C6" s="2" t="s">
        <v>1194</v>
      </c>
      <c r="D6" s="2" t="s">
        <v>1142</v>
      </c>
    </row>
    <row r="7" customFormat="false" ht="35.05" hidden="false" customHeight="false" outlineLevel="0" collapsed="false">
      <c r="A7" s="2" t="s">
        <v>1195</v>
      </c>
      <c r="B7" s="2" t="s">
        <v>1196</v>
      </c>
      <c r="C7" s="2" t="s">
        <v>1197</v>
      </c>
      <c r="D7" s="2" t="s">
        <v>1198</v>
      </c>
    </row>
    <row r="8" customFormat="false" ht="23.85" hidden="false" customHeight="false" outlineLevel="0" collapsed="false">
      <c r="A8" s="2" t="s">
        <v>1199</v>
      </c>
      <c r="B8" s="2" t="s">
        <v>1200</v>
      </c>
      <c r="C8" s="2" t="s">
        <v>510</v>
      </c>
      <c r="D8" s="2" t="s">
        <v>51</v>
      </c>
    </row>
    <row r="9" customFormat="false" ht="23.85" hidden="false" customHeight="false" outlineLevel="0" collapsed="false">
      <c r="A9" s="2" t="s">
        <v>1201</v>
      </c>
      <c r="B9" s="2" t="s">
        <v>1202</v>
      </c>
      <c r="C9" s="2" t="s">
        <v>1194</v>
      </c>
      <c r="D9" s="2" t="s">
        <v>1198</v>
      </c>
    </row>
    <row r="10" customFormat="false" ht="23.85" hidden="false" customHeight="false" outlineLevel="0" collapsed="false">
      <c r="A10" s="2" t="s">
        <v>1203</v>
      </c>
      <c r="B10" s="2" t="s">
        <v>1204</v>
      </c>
      <c r="C10" s="2" t="s">
        <v>1205</v>
      </c>
      <c r="D10" s="2" t="s">
        <v>51</v>
      </c>
    </row>
    <row r="11" customFormat="false" ht="23.85" hidden="false" customHeight="false" outlineLevel="0" collapsed="false">
      <c r="A11" s="2" t="s">
        <v>1206</v>
      </c>
      <c r="B11" s="2" t="s">
        <v>1207</v>
      </c>
      <c r="C11" s="2" t="s">
        <v>1208</v>
      </c>
      <c r="D11" s="2" t="s">
        <v>1198</v>
      </c>
    </row>
    <row r="12" customFormat="false" ht="15" hidden="false" customHeight="false" outlineLevel="0" collapsed="false">
      <c r="A12" s="2" t="s">
        <v>1209</v>
      </c>
      <c r="B12" s="2" t="s">
        <v>1210</v>
      </c>
      <c r="C12" s="2" t="s">
        <v>1211</v>
      </c>
      <c r="D12" s="2" t="s">
        <v>1212</v>
      </c>
    </row>
  </sheetData>
  <autoFilter ref="A1:D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36"/>
    <col collapsed="false" customWidth="true" hidden="false" outlineLevel="0" max="4" min="4" style="0" width="10"/>
    <col collapsed="false" customWidth="true" hidden="false" outlineLevel="0" max="5" min="5" style="0" width="50"/>
    <col collapsed="false" customWidth="true" hidden="false" outlineLevel="0" max="6" min="6" style="0" width="18"/>
    <col collapsed="false" customWidth="true" hidden="false" outlineLevel="0" max="7" min="7" style="0" width="60"/>
  </cols>
  <sheetData>
    <row r="1" customFormat="false" ht="39.55" hidden="false" customHeight="false" outlineLevel="0" collapsed="false">
      <c r="A1" s="3" t="s">
        <v>1213</v>
      </c>
      <c r="B1" s="3" t="s">
        <v>1214</v>
      </c>
      <c r="C1" s="3" t="s">
        <v>1215</v>
      </c>
      <c r="D1" s="3" t="s">
        <v>1216</v>
      </c>
      <c r="E1" s="3" t="s">
        <v>1217</v>
      </c>
      <c r="F1" s="3" t="s">
        <v>1218</v>
      </c>
      <c r="G1" s="3" t="s">
        <v>1219</v>
      </c>
    </row>
    <row r="2" customFormat="false" ht="15" hidden="false" customHeight="false" outlineLevel="0" collapsed="false">
      <c r="A2" s="2" t="s">
        <v>1220</v>
      </c>
      <c r="B2" s="2" t="s">
        <v>1221</v>
      </c>
      <c r="C2" s="2" t="s">
        <v>1222</v>
      </c>
      <c r="D2" s="2" t="n">
        <v>1</v>
      </c>
      <c r="E2" s="2"/>
      <c r="F2" s="2" t="s">
        <v>1223</v>
      </c>
      <c r="G2" s="2"/>
    </row>
    <row r="3" customFormat="false" ht="23.85" hidden="false" customHeight="false" outlineLevel="0" collapsed="false">
      <c r="A3" s="2" t="s">
        <v>1220</v>
      </c>
      <c r="B3" s="2" t="s">
        <v>1224</v>
      </c>
      <c r="C3" s="2" t="s">
        <v>1225</v>
      </c>
      <c r="D3" s="2" t="n">
        <v>1</v>
      </c>
      <c r="E3" s="2"/>
      <c r="F3" s="2" t="s">
        <v>1226</v>
      </c>
      <c r="G3" s="2"/>
    </row>
    <row r="4" customFormat="false" ht="15" hidden="false" customHeight="false" outlineLevel="0" collapsed="false">
      <c r="A4" s="2" t="s">
        <v>1220</v>
      </c>
      <c r="B4" s="2" t="s">
        <v>1227</v>
      </c>
      <c r="C4" s="2" t="s">
        <v>1228</v>
      </c>
      <c r="D4" s="2" t="n">
        <v>0</v>
      </c>
      <c r="E4" s="2"/>
      <c r="F4" s="2" t="s">
        <v>1229</v>
      </c>
      <c r="G4" s="2" t="s">
        <v>1230</v>
      </c>
    </row>
    <row r="5" customFormat="false" ht="15" hidden="false" customHeight="false" outlineLevel="0" collapsed="false">
      <c r="A5" s="2" t="s">
        <v>1220</v>
      </c>
      <c r="B5" s="2" t="s">
        <v>1231</v>
      </c>
      <c r="C5" s="2" t="s">
        <v>1232</v>
      </c>
      <c r="D5" s="2" t="n">
        <v>1</v>
      </c>
      <c r="E5" s="2"/>
      <c r="F5" s="2" t="s">
        <v>1233</v>
      </c>
      <c r="G5" s="2" t="s">
        <v>1234</v>
      </c>
    </row>
    <row r="6" customFormat="false" ht="15" hidden="false" customHeight="false" outlineLevel="0" collapsed="false">
      <c r="A6" s="2" t="s">
        <v>1220</v>
      </c>
      <c r="B6" s="2" t="s">
        <v>1235</v>
      </c>
      <c r="C6" s="2" t="s">
        <v>1236</v>
      </c>
      <c r="D6" s="2" t="n">
        <v>0</v>
      </c>
      <c r="E6" s="2"/>
      <c r="F6" s="2"/>
      <c r="G6" s="2" t="s">
        <v>1237</v>
      </c>
    </row>
    <row r="7" customFormat="false" ht="15" hidden="false" customHeight="false" outlineLevel="0" collapsed="false">
      <c r="A7" s="2" t="s">
        <v>1220</v>
      </c>
      <c r="B7" s="2" t="s">
        <v>1238</v>
      </c>
      <c r="C7" s="2" t="s">
        <v>1239</v>
      </c>
      <c r="D7" s="2" t="n">
        <v>1</v>
      </c>
      <c r="E7" s="2"/>
      <c r="F7" s="2" t="s">
        <v>1240</v>
      </c>
      <c r="G7" s="2"/>
    </row>
    <row r="8" customFormat="false" ht="23.85" hidden="false" customHeight="false" outlineLevel="0" collapsed="false">
      <c r="A8" s="2" t="s">
        <v>1241</v>
      </c>
      <c r="B8" s="2" t="s">
        <v>1242</v>
      </c>
      <c r="C8" s="2" t="s">
        <v>1243</v>
      </c>
      <c r="D8" s="2" t="n">
        <v>21</v>
      </c>
      <c r="E8" s="2" t="s">
        <v>1244</v>
      </c>
      <c r="F8" s="2" t="s">
        <v>1245</v>
      </c>
      <c r="G8" s="2" t="s">
        <v>1246</v>
      </c>
    </row>
    <row r="9" customFormat="false" ht="23.85" hidden="false" customHeight="false" outlineLevel="0" collapsed="false">
      <c r="A9" s="2" t="s">
        <v>1241</v>
      </c>
      <c r="B9" s="2" t="s">
        <v>1247</v>
      </c>
      <c r="C9" s="2" t="s">
        <v>1248</v>
      </c>
      <c r="D9" s="2" t="n">
        <v>1</v>
      </c>
      <c r="E9" s="2"/>
      <c r="F9" s="2" t="s">
        <v>1249</v>
      </c>
      <c r="G9" s="2"/>
    </row>
    <row r="10" customFormat="false" ht="35.05" hidden="false" customHeight="false" outlineLevel="0" collapsed="false">
      <c r="A10" s="2" t="s">
        <v>1241</v>
      </c>
      <c r="B10" s="2" t="s">
        <v>1250</v>
      </c>
      <c r="C10" s="2" t="s">
        <v>1251</v>
      </c>
      <c r="D10" s="2" t="n">
        <v>5</v>
      </c>
      <c r="E10" s="2" t="s">
        <v>1252</v>
      </c>
      <c r="F10" s="2" t="s">
        <v>1253</v>
      </c>
      <c r="G10" s="2" t="s">
        <v>1254</v>
      </c>
    </row>
    <row r="11" customFormat="false" ht="23.85" hidden="false" customHeight="false" outlineLevel="0" collapsed="false">
      <c r="A11" s="2" t="s">
        <v>1241</v>
      </c>
      <c r="B11" s="2" t="s">
        <v>1255</v>
      </c>
      <c r="C11" s="2" t="s">
        <v>1256</v>
      </c>
      <c r="D11" s="2" t="n">
        <v>1</v>
      </c>
      <c r="E11" s="2"/>
      <c r="F11" s="2" t="s">
        <v>1257</v>
      </c>
      <c r="G11" s="2"/>
    </row>
    <row r="12" customFormat="false" ht="23.85" hidden="false" customHeight="false" outlineLevel="0" collapsed="false">
      <c r="A12" s="2" t="s">
        <v>1241</v>
      </c>
      <c r="B12" s="2" t="s">
        <v>1258</v>
      </c>
      <c r="C12" s="2" t="s">
        <v>1259</v>
      </c>
      <c r="D12" s="2" t="n">
        <v>2</v>
      </c>
      <c r="E12" s="2"/>
      <c r="F12" s="2" t="s">
        <v>1260</v>
      </c>
      <c r="G12" s="2"/>
    </row>
    <row r="13" customFormat="false" ht="23.85" hidden="false" customHeight="false" outlineLevel="0" collapsed="false">
      <c r="A13" s="2" t="s">
        <v>1241</v>
      </c>
      <c r="B13" s="2" t="s">
        <v>1261</v>
      </c>
      <c r="C13" s="2" t="s">
        <v>1262</v>
      </c>
      <c r="D13" s="2" t="n">
        <v>6</v>
      </c>
      <c r="E13" s="2"/>
      <c r="F13" s="2" t="s">
        <v>1263</v>
      </c>
      <c r="G13" s="2"/>
    </row>
    <row r="14" customFormat="false" ht="23.85" hidden="false" customHeight="false" outlineLevel="0" collapsed="false">
      <c r="A14" s="2" t="s">
        <v>1241</v>
      </c>
      <c r="B14" s="2" t="s">
        <v>1264</v>
      </c>
      <c r="C14" s="2" t="s">
        <v>1265</v>
      </c>
      <c r="D14" s="2" t="n">
        <v>1</v>
      </c>
      <c r="E14" s="2"/>
      <c r="F14" s="2" t="s">
        <v>1266</v>
      </c>
      <c r="G14" s="2" t="s">
        <v>1267</v>
      </c>
    </row>
    <row r="15" customFormat="false" ht="23.85" hidden="false" customHeight="false" outlineLevel="0" collapsed="false">
      <c r="A15" s="2" t="s">
        <v>1268</v>
      </c>
      <c r="B15" s="2" t="s">
        <v>1269</v>
      </c>
      <c r="C15" s="2" t="s">
        <v>1270</v>
      </c>
      <c r="D15" s="2" t="n">
        <v>22</v>
      </c>
      <c r="E15" s="2" t="s">
        <v>1271</v>
      </c>
      <c r="F15" s="2" t="s">
        <v>1272</v>
      </c>
      <c r="G15" s="2" t="s">
        <v>1273</v>
      </c>
    </row>
    <row r="16" customFormat="false" ht="15" hidden="false" customHeight="false" outlineLevel="0" collapsed="false">
      <c r="A16" s="2" t="s">
        <v>1268</v>
      </c>
      <c r="B16" s="2" t="s">
        <v>1274</v>
      </c>
      <c r="C16" s="2" t="s">
        <v>1270</v>
      </c>
      <c r="D16" s="2" t="n">
        <v>16</v>
      </c>
      <c r="E16" s="2" t="s">
        <v>1275</v>
      </c>
      <c r="F16" s="2" t="s">
        <v>1272</v>
      </c>
      <c r="G16" s="2" t="s">
        <v>1276</v>
      </c>
    </row>
    <row r="17" customFormat="false" ht="102.2" hidden="false" customHeight="false" outlineLevel="0" collapsed="false">
      <c r="A17" s="2" t="s">
        <v>1268</v>
      </c>
      <c r="B17" s="2" t="s">
        <v>1277</v>
      </c>
      <c r="C17" s="2" t="s">
        <v>1278</v>
      </c>
      <c r="D17" s="2" t="n">
        <v>7</v>
      </c>
      <c r="E17" s="2" t="s">
        <v>1279</v>
      </c>
      <c r="F17" s="2" t="s">
        <v>1280</v>
      </c>
      <c r="G17" s="2" t="s">
        <v>1281</v>
      </c>
    </row>
    <row r="18" customFormat="false" ht="68.65" hidden="false" customHeight="false" outlineLevel="0" collapsed="false">
      <c r="A18" s="2" t="s">
        <v>1268</v>
      </c>
      <c r="B18" s="2" t="s">
        <v>1282</v>
      </c>
      <c r="C18" s="2" t="s">
        <v>1283</v>
      </c>
      <c r="D18" s="2" t="n">
        <v>5</v>
      </c>
      <c r="E18" s="2" t="s">
        <v>1284</v>
      </c>
      <c r="F18" s="2" t="s">
        <v>1253</v>
      </c>
      <c r="G18" s="2" t="s">
        <v>1285</v>
      </c>
    </row>
    <row r="19" customFormat="false" ht="35.05" hidden="false" customHeight="false" outlineLevel="0" collapsed="false">
      <c r="A19" s="2" t="s">
        <v>1268</v>
      </c>
      <c r="B19" s="2" t="s">
        <v>1286</v>
      </c>
      <c r="C19" s="2" t="s">
        <v>1287</v>
      </c>
      <c r="D19" s="2" t="n">
        <v>1</v>
      </c>
      <c r="E19" s="2" t="s">
        <v>1288</v>
      </c>
      <c r="F19" s="2" t="s">
        <v>1289</v>
      </c>
      <c r="G19" s="2" t="s">
        <v>1290</v>
      </c>
    </row>
    <row r="20" customFormat="false" ht="23.85" hidden="false" customHeight="false" outlineLevel="0" collapsed="false">
      <c r="A20" s="2" t="s">
        <v>1268</v>
      </c>
      <c r="B20" s="2" t="s">
        <v>1291</v>
      </c>
      <c r="C20" s="2" t="s">
        <v>1292</v>
      </c>
      <c r="D20" s="2" t="n">
        <v>2</v>
      </c>
      <c r="E20" s="2" t="s">
        <v>1293</v>
      </c>
      <c r="F20" s="2" t="s">
        <v>1249</v>
      </c>
      <c r="G20" s="2"/>
    </row>
    <row r="21" customFormat="false" ht="15" hidden="false" customHeight="false" outlineLevel="0" collapsed="false">
      <c r="A21" s="2" t="s">
        <v>1268</v>
      </c>
      <c r="B21" s="2" t="s">
        <v>1294</v>
      </c>
      <c r="C21" s="2" t="s">
        <v>1295</v>
      </c>
      <c r="D21" s="2" t="n">
        <v>0</v>
      </c>
      <c r="E21" s="2" t="s">
        <v>1296</v>
      </c>
      <c r="F21" s="2" t="s">
        <v>1272</v>
      </c>
      <c r="G21" s="2" t="s">
        <v>1237</v>
      </c>
    </row>
    <row r="22" customFormat="false" ht="15" hidden="false" customHeight="false" outlineLevel="0" collapsed="false">
      <c r="A22" s="2" t="s">
        <v>1268</v>
      </c>
      <c r="B22" s="2" t="s">
        <v>1297</v>
      </c>
      <c r="C22" s="2" t="s">
        <v>1298</v>
      </c>
      <c r="D22" s="2" t="n">
        <v>1</v>
      </c>
      <c r="E22" s="2" t="s">
        <v>1299</v>
      </c>
      <c r="F22" s="2" t="s">
        <v>1300</v>
      </c>
      <c r="G22" s="2" t="s">
        <v>1301</v>
      </c>
    </row>
    <row r="23" customFormat="false" ht="79.85" hidden="false" customHeight="false" outlineLevel="0" collapsed="false">
      <c r="A23" s="2" t="s">
        <v>1268</v>
      </c>
      <c r="B23" s="2" t="s">
        <v>1302</v>
      </c>
      <c r="C23" s="2" t="s">
        <v>1303</v>
      </c>
      <c r="D23" s="2" t="n">
        <v>4</v>
      </c>
      <c r="E23" s="2" t="s">
        <v>1304</v>
      </c>
      <c r="F23" s="2" t="s">
        <v>1253</v>
      </c>
      <c r="G23" s="2" t="s">
        <v>1305</v>
      </c>
    </row>
    <row r="24" customFormat="false" ht="15" hidden="false" customHeight="false" outlineLevel="0" collapsed="false">
      <c r="A24" s="2" t="s">
        <v>1268</v>
      </c>
      <c r="B24" s="2" t="s">
        <v>1306</v>
      </c>
      <c r="C24" s="2" t="s">
        <v>1307</v>
      </c>
      <c r="D24" s="2" t="n">
        <v>1</v>
      </c>
      <c r="E24" s="2" t="s">
        <v>1308</v>
      </c>
      <c r="F24" s="2" t="s">
        <v>1309</v>
      </c>
      <c r="G24" s="2" t="s">
        <v>1310</v>
      </c>
    </row>
    <row r="25" customFormat="false" ht="23.85" hidden="false" customHeight="false" outlineLevel="0" collapsed="false">
      <c r="A25" s="2" t="s">
        <v>1268</v>
      </c>
      <c r="B25" s="2" t="s">
        <v>1311</v>
      </c>
      <c r="C25" s="2" t="s">
        <v>1312</v>
      </c>
      <c r="D25" s="2" t="n">
        <v>1</v>
      </c>
      <c r="E25" s="2" t="s">
        <v>1296</v>
      </c>
      <c r="F25" s="2" t="s">
        <v>1313</v>
      </c>
      <c r="G25" s="2" t="s">
        <v>1314</v>
      </c>
    </row>
    <row r="26" customFormat="false" ht="15" hidden="false" customHeight="false" outlineLevel="0" collapsed="false">
      <c r="A26" s="2" t="s">
        <v>1268</v>
      </c>
      <c r="B26" s="2" t="s">
        <v>1315</v>
      </c>
      <c r="C26" s="2" t="s">
        <v>1316</v>
      </c>
      <c r="D26" s="2" t="n">
        <v>1</v>
      </c>
      <c r="E26" s="2" t="s">
        <v>1317</v>
      </c>
      <c r="F26" s="2" t="s">
        <v>1318</v>
      </c>
      <c r="G26" s="2" t="s">
        <v>1319</v>
      </c>
    </row>
    <row r="27" customFormat="false" ht="23.85" hidden="false" customHeight="false" outlineLevel="0" collapsed="false">
      <c r="A27" s="2" t="s">
        <v>1268</v>
      </c>
      <c r="B27" s="2" t="s">
        <v>1320</v>
      </c>
      <c r="C27" s="2" t="s">
        <v>1321</v>
      </c>
      <c r="D27" s="2" t="n">
        <v>1</v>
      </c>
      <c r="E27" s="2" t="s">
        <v>1296</v>
      </c>
      <c r="F27" s="2" t="s">
        <v>1313</v>
      </c>
      <c r="G27" s="2" t="s">
        <v>1322</v>
      </c>
    </row>
    <row r="28" customFormat="false" ht="57.45" hidden="false" customHeight="false" outlineLevel="0" collapsed="false">
      <c r="A28" s="2" t="s">
        <v>1268</v>
      </c>
      <c r="B28" s="2" t="s">
        <v>1323</v>
      </c>
      <c r="C28" s="2" t="s">
        <v>1324</v>
      </c>
      <c r="D28" s="2" t="n">
        <v>3</v>
      </c>
      <c r="E28" s="2" t="s">
        <v>1325</v>
      </c>
      <c r="F28" s="2" t="s">
        <v>1326</v>
      </c>
      <c r="G28" s="2" t="s">
        <v>1327</v>
      </c>
    </row>
    <row r="29" customFormat="false" ht="15" hidden="false" customHeight="false" outlineLevel="0" collapsed="false">
      <c r="A29" s="2" t="s">
        <v>1268</v>
      </c>
      <c r="B29" s="2" t="s">
        <v>1328</v>
      </c>
      <c r="C29" s="2" t="s">
        <v>1329</v>
      </c>
      <c r="D29" s="2" t="n">
        <v>1</v>
      </c>
      <c r="E29" s="2" t="s">
        <v>1330</v>
      </c>
      <c r="F29" s="2" t="s">
        <v>1272</v>
      </c>
      <c r="G29" s="2"/>
    </row>
    <row r="30" customFormat="false" ht="15" hidden="false" customHeight="false" outlineLevel="0" collapsed="false">
      <c r="A30" s="2" t="s">
        <v>1268</v>
      </c>
      <c r="B30" s="2" t="s">
        <v>1331</v>
      </c>
      <c r="C30" s="2" t="s">
        <v>1332</v>
      </c>
      <c r="D30" s="2" t="n">
        <v>0</v>
      </c>
      <c r="E30" s="2" t="s">
        <v>1333</v>
      </c>
      <c r="F30" s="2" t="s">
        <v>1334</v>
      </c>
      <c r="G30" s="2" t="s">
        <v>1237</v>
      </c>
    </row>
    <row r="31" customFormat="false" ht="15" hidden="false" customHeight="false" outlineLevel="0" collapsed="false">
      <c r="A31" s="2" t="s">
        <v>1335</v>
      </c>
      <c r="B31" s="2" t="s">
        <v>1336</v>
      </c>
      <c r="C31" s="2" t="s">
        <v>1270</v>
      </c>
      <c r="D31" s="2" t="n">
        <v>16</v>
      </c>
      <c r="E31" s="2" t="s">
        <v>1337</v>
      </c>
      <c r="F31" s="2" t="s">
        <v>1272</v>
      </c>
      <c r="G31" s="2" t="s">
        <v>1338</v>
      </c>
    </row>
    <row r="32" customFormat="false" ht="15" hidden="false" customHeight="false" outlineLevel="0" collapsed="false">
      <c r="A32" s="2" t="s">
        <v>1335</v>
      </c>
      <c r="B32" s="2" t="s">
        <v>1339</v>
      </c>
      <c r="C32" s="2" t="s">
        <v>1340</v>
      </c>
      <c r="D32" s="2" t="n">
        <v>1</v>
      </c>
      <c r="E32" s="2"/>
      <c r="F32" s="2" t="s">
        <v>1341</v>
      </c>
      <c r="G32" s="2" t="s">
        <v>1342</v>
      </c>
    </row>
    <row r="33" customFormat="false" ht="15" hidden="false" customHeight="false" outlineLevel="0" collapsed="false">
      <c r="A33" s="2" t="s">
        <v>1335</v>
      </c>
      <c r="B33" s="2" t="s">
        <v>1343</v>
      </c>
      <c r="C33" s="2" t="s">
        <v>1344</v>
      </c>
      <c r="D33" s="2" t="n">
        <v>2</v>
      </c>
      <c r="E33" s="2" t="s">
        <v>1345</v>
      </c>
      <c r="F33" s="2" t="s">
        <v>1272</v>
      </c>
      <c r="G33" s="2"/>
    </row>
    <row r="34" customFormat="false" ht="23.85" hidden="false" customHeight="false" outlineLevel="0" collapsed="false">
      <c r="A34" s="2" t="s">
        <v>1335</v>
      </c>
      <c r="B34" s="2" t="s">
        <v>1346</v>
      </c>
      <c r="C34" s="2" t="s">
        <v>1347</v>
      </c>
      <c r="D34" s="2" t="n">
        <v>5</v>
      </c>
      <c r="E34" s="2" t="s">
        <v>1348</v>
      </c>
      <c r="F34" s="2" t="s">
        <v>1272</v>
      </c>
      <c r="G34" s="2" t="s">
        <v>1349</v>
      </c>
    </row>
    <row r="35" customFormat="false" ht="15" hidden="false" customHeight="false" outlineLevel="0" collapsed="false">
      <c r="A35" s="2" t="s">
        <v>1335</v>
      </c>
      <c r="B35" s="2" t="s">
        <v>1350</v>
      </c>
      <c r="C35" s="2" t="s">
        <v>1351</v>
      </c>
      <c r="D35" s="2" t="n">
        <v>4</v>
      </c>
      <c r="E35" s="2"/>
      <c r="F35" s="2" t="s">
        <v>1249</v>
      </c>
      <c r="G35" s="2"/>
    </row>
    <row r="36" customFormat="false" ht="23.85" hidden="false" customHeight="false" outlineLevel="0" collapsed="false">
      <c r="A36" s="2" t="s">
        <v>1335</v>
      </c>
      <c r="B36" s="2" t="s">
        <v>1352</v>
      </c>
      <c r="C36" s="2" t="s">
        <v>1353</v>
      </c>
      <c r="D36" s="2" t="n">
        <v>1</v>
      </c>
      <c r="E36" s="2"/>
      <c r="F36" s="2" t="s">
        <v>1354</v>
      </c>
      <c r="G36" s="2" t="s">
        <v>1355</v>
      </c>
    </row>
    <row r="37" customFormat="false" ht="23.85" hidden="false" customHeight="false" outlineLevel="0" collapsed="false">
      <c r="A37" s="2" t="s">
        <v>1335</v>
      </c>
      <c r="B37" s="2" t="s">
        <v>1356</v>
      </c>
      <c r="C37" s="2" t="s">
        <v>1357</v>
      </c>
      <c r="D37" s="2" t="n">
        <v>2</v>
      </c>
      <c r="E37" s="2"/>
      <c r="F37" s="2" t="s">
        <v>1358</v>
      </c>
      <c r="G37" s="2" t="s">
        <v>1359</v>
      </c>
    </row>
    <row r="38" customFormat="false" ht="15" hidden="false" customHeight="false" outlineLevel="0" collapsed="false">
      <c r="A38" s="2" t="s">
        <v>1335</v>
      </c>
      <c r="B38" s="2" t="s">
        <v>1360</v>
      </c>
      <c r="C38" s="2" t="s">
        <v>1361</v>
      </c>
      <c r="D38" s="2" t="n">
        <v>1</v>
      </c>
      <c r="E38" s="2"/>
      <c r="F38" s="2" t="s">
        <v>1362</v>
      </c>
      <c r="G38" s="2"/>
    </row>
    <row r="39" customFormat="false" ht="15" hidden="false" customHeight="false" outlineLevel="0" collapsed="false">
      <c r="A39" s="2" t="s">
        <v>1335</v>
      </c>
      <c r="B39" s="2" t="s">
        <v>1363</v>
      </c>
      <c r="C39" s="2" t="s">
        <v>1364</v>
      </c>
      <c r="D39" s="2" t="n">
        <v>2</v>
      </c>
      <c r="E39" s="2"/>
      <c r="F39" s="2" t="s">
        <v>1365</v>
      </c>
      <c r="G39" s="2" t="s">
        <v>1366</v>
      </c>
    </row>
    <row r="40" customFormat="false" ht="15" hidden="false" customHeight="false" outlineLevel="0" collapsed="false">
      <c r="A40" s="2" t="s">
        <v>1335</v>
      </c>
      <c r="B40" s="2" t="s">
        <v>1367</v>
      </c>
      <c r="C40" s="2" t="s">
        <v>1368</v>
      </c>
      <c r="D40" s="2" t="n">
        <v>1</v>
      </c>
      <c r="E40" s="2" t="s">
        <v>1369</v>
      </c>
      <c r="F40" s="2" t="s">
        <v>1370</v>
      </c>
      <c r="G40" s="2" t="s">
        <v>1371</v>
      </c>
    </row>
    <row r="41" customFormat="false" ht="15" hidden="false" customHeight="false" outlineLevel="0" collapsed="false">
      <c r="A41" s="2" t="s">
        <v>1335</v>
      </c>
      <c r="B41" s="2" t="s">
        <v>1372</v>
      </c>
      <c r="C41" s="2" t="s">
        <v>1373</v>
      </c>
      <c r="D41" s="2" t="n">
        <v>1</v>
      </c>
      <c r="E41" s="2"/>
      <c r="F41" s="2" t="s">
        <v>1341</v>
      </c>
      <c r="G41" s="2" t="s">
        <v>1342</v>
      </c>
    </row>
    <row r="42" customFormat="false" ht="23.85" hidden="false" customHeight="false" outlineLevel="0" collapsed="false">
      <c r="A42" s="2" t="s">
        <v>1335</v>
      </c>
      <c r="B42" s="2" t="s">
        <v>1374</v>
      </c>
      <c r="C42" s="2" t="s">
        <v>1375</v>
      </c>
      <c r="D42" s="2" t="n">
        <v>1</v>
      </c>
      <c r="E42" s="2"/>
      <c r="F42" s="2" t="s">
        <v>1376</v>
      </c>
      <c r="G42" s="2" t="s">
        <v>1377</v>
      </c>
    </row>
    <row r="43" customFormat="false" ht="23.85" hidden="false" customHeight="false" outlineLevel="0" collapsed="false">
      <c r="A43" s="2" t="s">
        <v>1335</v>
      </c>
      <c r="B43" s="2" t="s">
        <v>1378</v>
      </c>
      <c r="C43" s="2" t="s">
        <v>1379</v>
      </c>
      <c r="D43" s="2" t="n">
        <v>1</v>
      </c>
      <c r="E43" s="2" t="s">
        <v>1380</v>
      </c>
      <c r="F43" s="2" t="s">
        <v>1381</v>
      </c>
      <c r="G43" s="2" t="s">
        <v>1382</v>
      </c>
    </row>
    <row r="44" customFormat="false" ht="15" hidden="false" customHeight="false" outlineLevel="0" collapsed="false">
      <c r="A44" s="2" t="s">
        <v>1335</v>
      </c>
      <c r="B44" s="2" t="s">
        <v>1383</v>
      </c>
      <c r="C44" s="2" t="s">
        <v>1384</v>
      </c>
      <c r="D44" s="2" t="n">
        <v>3</v>
      </c>
      <c r="E44" s="2" t="s">
        <v>1385</v>
      </c>
      <c r="F44" s="2" t="s">
        <v>1341</v>
      </c>
      <c r="G44" s="2" t="s">
        <v>1386</v>
      </c>
    </row>
    <row r="45" customFormat="false" ht="23.85" hidden="false" customHeight="false" outlineLevel="0" collapsed="false">
      <c r="A45" s="2" t="s">
        <v>1335</v>
      </c>
      <c r="B45" s="2" t="s">
        <v>1387</v>
      </c>
      <c r="C45" s="2" t="s">
        <v>1388</v>
      </c>
      <c r="D45" s="2" t="n">
        <v>1</v>
      </c>
      <c r="E45" s="2"/>
      <c r="F45" s="2" t="s">
        <v>1389</v>
      </c>
      <c r="G45" s="2"/>
    </row>
    <row r="46" customFormat="false" ht="15" hidden="false" customHeight="false" outlineLevel="0" collapsed="false">
      <c r="A46" s="2" t="s">
        <v>1390</v>
      </c>
      <c r="B46" s="2" t="s">
        <v>1391</v>
      </c>
      <c r="C46" s="2" t="s">
        <v>1270</v>
      </c>
      <c r="D46" s="2" t="n">
        <v>6</v>
      </c>
      <c r="E46" s="2" t="s">
        <v>1392</v>
      </c>
      <c r="F46" s="2" t="s">
        <v>1272</v>
      </c>
      <c r="G46" s="2" t="s">
        <v>1393</v>
      </c>
    </row>
    <row r="47" customFormat="false" ht="23.85" hidden="false" customHeight="false" outlineLevel="0" collapsed="false">
      <c r="A47" s="2" t="s">
        <v>1390</v>
      </c>
      <c r="B47" s="2" t="s">
        <v>1394</v>
      </c>
      <c r="C47" s="2" t="s">
        <v>1395</v>
      </c>
      <c r="D47" s="2" t="n">
        <v>1</v>
      </c>
      <c r="E47" s="2"/>
      <c r="F47" s="2" t="s">
        <v>1396</v>
      </c>
      <c r="G47" s="2" t="s">
        <v>1397</v>
      </c>
    </row>
    <row r="48" customFormat="false" ht="23.85" hidden="false" customHeight="false" outlineLevel="0" collapsed="false">
      <c r="A48" s="2" t="s">
        <v>1390</v>
      </c>
      <c r="B48" s="2" t="s">
        <v>1398</v>
      </c>
      <c r="C48" s="2" t="s">
        <v>1399</v>
      </c>
      <c r="D48" s="2" t="n">
        <v>1</v>
      </c>
      <c r="E48" s="2" t="s">
        <v>1400</v>
      </c>
      <c r="F48" s="2" t="s">
        <v>1253</v>
      </c>
      <c r="G48" s="2" t="s">
        <v>1401</v>
      </c>
    </row>
    <row r="49" customFormat="false" ht="15" hidden="false" customHeight="false" outlineLevel="0" collapsed="false">
      <c r="A49" s="2" t="s">
        <v>1390</v>
      </c>
      <c r="B49" s="2" t="s">
        <v>1402</v>
      </c>
      <c r="C49" s="2" t="s">
        <v>1403</v>
      </c>
      <c r="D49" s="2" t="n">
        <v>1</v>
      </c>
      <c r="E49" s="2" t="s">
        <v>1404</v>
      </c>
      <c r="F49" s="2" t="s">
        <v>1253</v>
      </c>
      <c r="G49" s="2" t="s">
        <v>1405</v>
      </c>
    </row>
    <row r="50" customFormat="false" ht="23.85" hidden="false" customHeight="false" outlineLevel="0" collapsed="false">
      <c r="A50" s="2" t="s">
        <v>1390</v>
      </c>
      <c r="B50" s="2" t="s">
        <v>1406</v>
      </c>
      <c r="C50" s="2" t="s">
        <v>1407</v>
      </c>
      <c r="D50" s="2" t="n">
        <v>0</v>
      </c>
      <c r="E50" s="2"/>
      <c r="F50" s="2" t="s">
        <v>1408</v>
      </c>
      <c r="G50" s="2" t="s">
        <v>1237</v>
      </c>
    </row>
    <row r="51" customFormat="false" ht="35.05" hidden="false" customHeight="false" outlineLevel="0" collapsed="false">
      <c r="A51" s="2" t="s">
        <v>1390</v>
      </c>
      <c r="B51" s="2" t="s">
        <v>1409</v>
      </c>
      <c r="C51" s="2" t="s">
        <v>1410</v>
      </c>
      <c r="D51" s="2" t="n">
        <v>2</v>
      </c>
      <c r="E51" s="2" t="s">
        <v>1411</v>
      </c>
      <c r="F51" s="2" t="s">
        <v>1253</v>
      </c>
      <c r="G51" s="2"/>
    </row>
    <row r="52" customFormat="false" ht="15" hidden="false" customHeight="false" outlineLevel="0" collapsed="false">
      <c r="A52" s="2" t="s">
        <v>1390</v>
      </c>
      <c r="B52" s="2" t="s">
        <v>1412</v>
      </c>
      <c r="C52" s="2" t="s">
        <v>1413</v>
      </c>
      <c r="D52" s="2" t="n">
        <v>1</v>
      </c>
      <c r="E52" s="2" t="s">
        <v>1414</v>
      </c>
      <c r="F52" s="2" t="s">
        <v>1272</v>
      </c>
      <c r="G52" s="2" t="s">
        <v>1415</v>
      </c>
    </row>
    <row r="53" customFormat="false" ht="23.85" hidden="false" customHeight="false" outlineLevel="0" collapsed="false">
      <c r="A53" s="2" t="s">
        <v>1390</v>
      </c>
      <c r="B53" s="2" t="s">
        <v>1416</v>
      </c>
      <c r="C53" s="2" t="s">
        <v>1417</v>
      </c>
      <c r="D53" s="2" t="n">
        <v>2</v>
      </c>
      <c r="E53" s="2" t="s">
        <v>1418</v>
      </c>
      <c r="F53" s="2" t="s">
        <v>1253</v>
      </c>
      <c r="G53" s="2" t="s">
        <v>1419</v>
      </c>
    </row>
    <row r="54" customFormat="false" ht="23.85" hidden="false" customHeight="false" outlineLevel="0" collapsed="false">
      <c r="A54" s="2" t="s">
        <v>1420</v>
      </c>
      <c r="B54" s="2" t="s">
        <v>1421</v>
      </c>
      <c r="C54" s="2" t="s">
        <v>1422</v>
      </c>
      <c r="D54" s="2" t="n">
        <v>1</v>
      </c>
      <c r="E54" s="2"/>
      <c r="F54" s="2" t="s">
        <v>1423</v>
      </c>
      <c r="G54" s="2" t="s">
        <v>1424</v>
      </c>
    </row>
    <row r="55" customFormat="false" ht="68.65" hidden="false" customHeight="false" outlineLevel="0" collapsed="false">
      <c r="A55" s="2" t="s">
        <v>1420</v>
      </c>
      <c r="B55" s="2" t="s">
        <v>1425</v>
      </c>
      <c r="C55" s="2" t="s">
        <v>1426</v>
      </c>
      <c r="D55" s="2" t="n">
        <v>5</v>
      </c>
      <c r="E55" s="2"/>
      <c r="F55" s="2" t="s">
        <v>1427</v>
      </c>
      <c r="G55" s="2"/>
    </row>
    <row r="56" customFormat="false" ht="15" hidden="false" customHeight="false" outlineLevel="0" collapsed="false">
      <c r="A56" s="2" t="s">
        <v>1428</v>
      </c>
      <c r="B56" s="2" t="s">
        <v>1429</v>
      </c>
      <c r="C56" s="2" t="s">
        <v>1270</v>
      </c>
      <c r="D56" s="2" t="n">
        <v>15</v>
      </c>
      <c r="E56" s="2" t="s">
        <v>1430</v>
      </c>
      <c r="F56" s="2" t="s">
        <v>1272</v>
      </c>
      <c r="G56" s="2" t="s">
        <v>1431</v>
      </c>
    </row>
    <row r="57" customFormat="false" ht="35.05" hidden="false" customHeight="false" outlineLevel="0" collapsed="false">
      <c r="A57" s="2" t="s">
        <v>1428</v>
      </c>
      <c r="B57" s="2" t="s">
        <v>1432</v>
      </c>
      <c r="C57" s="2" t="s">
        <v>1433</v>
      </c>
      <c r="D57" s="2" t="n">
        <v>3</v>
      </c>
      <c r="E57" s="2" t="s">
        <v>1434</v>
      </c>
      <c r="F57" s="2" t="s">
        <v>1253</v>
      </c>
      <c r="G57" s="2"/>
    </row>
    <row r="58" customFormat="false" ht="15" hidden="false" customHeight="false" outlineLevel="0" collapsed="false">
      <c r="A58" s="2" t="s">
        <v>1428</v>
      </c>
      <c r="B58" s="2" t="s">
        <v>1435</v>
      </c>
      <c r="C58" s="2" t="s">
        <v>1436</v>
      </c>
      <c r="D58" s="2" t="n">
        <v>1</v>
      </c>
      <c r="E58" s="2"/>
      <c r="F58" s="2" t="s">
        <v>1437</v>
      </c>
      <c r="G58" s="2"/>
    </row>
    <row r="59" customFormat="false" ht="46.25" hidden="false" customHeight="false" outlineLevel="0" collapsed="false">
      <c r="A59" s="2" t="s">
        <v>1428</v>
      </c>
      <c r="B59" s="2" t="s">
        <v>1438</v>
      </c>
      <c r="C59" s="2" t="s">
        <v>1439</v>
      </c>
      <c r="D59" s="2" t="n">
        <v>4</v>
      </c>
      <c r="E59" s="2"/>
      <c r="F59" s="2" t="s">
        <v>1440</v>
      </c>
      <c r="G59" s="2" t="s">
        <v>1441</v>
      </c>
    </row>
    <row r="60" customFormat="false" ht="23.85" hidden="false" customHeight="false" outlineLevel="0" collapsed="false">
      <c r="A60" s="2" t="s">
        <v>1428</v>
      </c>
      <c r="B60" s="2" t="s">
        <v>1442</v>
      </c>
      <c r="C60" s="2" t="s">
        <v>1443</v>
      </c>
      <c r="D60" s="2" t="n">
        <v>1</v>
      </c>
      <c r="E60" s="2" t="s">
        <v>1444</v>
      </c>
      <c r="F60" s="2" t="s">
        <v>1445</v>
      </c>
      <c r="G60" s="2"/>
    </row>
    <row r="61" customFormat="false" ht="23.85" hidden="false" customHeight="false" outlineLevel="0" collapsed="false">
      <c r="A61" s="2" t="s">
        <v>1428</v>
      </c>
      <c r="B61" s="2" t="s">
        <v>1446</v>
      </c>
      <c r="C61" s="2" t="s">
        <v>1447</v>
      </c>
      <c r="D61" s="2" t="n">
        <v>1</v>
      </c>
      <c r="E61" s="2" t="s">
        <v>1448</v>
      </c>
      <c r="F61" s="2" t="s">
        <v>1449</v>
      </c>
      <c r="G61" s="2" t="s">
        <v>1450</v>
      </c>
    </row>
    <row r="62" customFormat="false" ht="23.85" hidden="false" customHeight="false" outlineLevel="0" collapsed="false">
      <c r="A62" s="2" t="s">
        <v>1428</v>
      </c>
      <c r="B62" s="2" t="s">
        <v>1451</v>
      </c>
      <c r="C62" s="2" t="s">
        <v>1452</v>
      </c>
      <c r="D62" s="2" t="n">
        <v>6</v>
      </c>
      <c r="E62" s="2"/>
      <c r="F62" s="2" t="s">
        <v>1453</v>
      </c>
      <c r="G62" s="2"/>
    </row>
    <row r="63" customFormat="false" ht="23.85" hidden="false" customHeight="false" outlineLevel="0" collapsed="false">
      <c r="A63" s="2" t="s">
        <v>1428</v>
      </c>
      <c r="B63" s="2" t="s">
        <v>518</v>
      </c>
      <c r="C63" s="2" t="s">
        <v>1454</v>
      </c>
      <c r="D63" s="2" t="n">
        <v>2</v>
      </c>
      <c r="E63" s="2"/>
      <c r="F63" s="2" t="s">
        <v>1455</v>
      </c>
      <c r="G63" s="2"/>
    </row>
    <row r="64" customFormat="false" ht="35.05" hidden="false" customHeight="false" outlineLevel="0" collapsed="false">
      <c r="A64" s="2" t="s">
        <v>1428</v>
      </c>
      <c r="B64" s="2" t="s">
        <v>1456</v>
      </c>
      <c r="C64" s="2" t="s">
        <v>1457</v>
      </c>
      <c r="D64" s="2" t="n">
        <v>0</v>
      </c>
      <c r="E64" s="2"/>
      <c r="F64" s="2" t="s">
        <v>1458</v>
      </c>
      <c r="G64" s="2" t="s">
        <v>1459</v>
      </c>
    </row>
    <row r="65" customFormat="false" ht="23.85" hidden="false" customHeight="false" outlineLevel="0" collapsed="false">
      <c r="A65" s="2" t="s">
        <v>1428</v>
      </c>
      <c r="B65" s="2" t="s">
        <v>1460</v>
      </c>
      <c r="C65" s="2" t="s">
        <v>1461</v>
      </c>
      <c r="D65" s="2" t="n">
        <v>1</v>
      </c>
      <c r="E65" s="2" t="s">
        <v>1462</v>
      </c>
      <c r="F65" s="2" t="s">
        <v>1463</v>
      </c>
      <c r="G65" s="2" t="s">
        <v>1464</v>
      </c>
    </row>
    <row r="66" customFormat="false" ht="23.85" hidden="false" customHeight="false" outlineLevel="0" collapsed="false">
      <c r="A66" s="2" t="s">
        <v>1428</v>
      </c>
      <c r="B66" s="2" t="s">
        <v>1465</v>
      </c>
      <c r="C66" s="2" t="s">
        <v>1466</v>
      </c>
      <c r="D66" s="2" t="n">
        <v>1</v>
      </c>
      <c r="E66" s="2"/>
      <c r="F66" s="2" t="s">
        <v>1467</v>
      </c>
      <c r="G66" s="2" t="s">
        <v>1468</v>
      </c>
    </row>
    <row r="67" customFormat="false" ht="15" hidden="false" customHeight="false" outlineLevel="0" collapsed="false">
      <c r="A67" s="2" t="s">
        <v>1469</v>
      </c>
      <c r="B67" s="2" t="s">
        <v>1470</v>
      </c>
      <c r="C67" s="2" t="s">
        <v>1471</v>
      </c>
      <c r="D67" s="2" t="n">
        <v>0</v>
      </c>
      <c r="E67" s="2" t="s">
        <v>1472</v>
      </c>
      <c r="F67" s="2" t="s">
        <v>1440</v>
      </c>
      <c r="G67" s="2" t="s">
        <v>1473</v>
      </c>
    </row>
    <row r="68" customFormat="false" ht="15" hidden="false" customHeight="false" outlineLevel="0" collapsed="false">
      <c r="A68" s="2" t="s">
        <v>1469</v>
      </c>
      <c r="B68" s="2" t="s">
        <v>1474</v>
      </c>
      <c r="C68" s="2" t="s">
        <v>1475</v>
      </c>
      <c r="D68" s="2" t="n">
        <v>1</v>
      </c>
      <c r="E68" s="2"/>
      <c r="F68" s="2" t="s">
        <v>1476</v>
      </c>
      <c r="G68" s="2"/>
    </row>
    <row r="69" customFormat="false" ht="23.85" hidden="false" customHeight="false" outlineLevel="0" collapsed="false">
      <c r="A69" s="2" t="s">
        <v>1477</v>
      </c>
      <c r="B69" s="2" t="s">
        <v>1478</v>
      </c>
      <c r="C69" s="2" t="s">
        <v>1479</v>
      </c>
      <c r="D69" s="2" t="n">
        <v>1</v>
      </c>
      <c r="E69" s="2" t="s">
        <v>1480</v>
      </c>
      <c r="F69" s="2" t="s">
        <v>1481</v>
      </c>
      <c r="G69" s="2" t="s">
        <v>1482</v>
      </c>
    </row>
    <row r="70" customFormat="false" ht="23.85" hidden="false" customHeight="false" outlineLevel="0" collapsed="false">
      <c r="A70" s="2" t="s">
        <v>1477</v>
      </c>
      <c r="B70" s="2" t="s">
        <v>1483</v>
      </c>
      <c r="C70" s="2" t="s">
        <v>1484</v>
      </c>
      <c r="D70" s="2" t="n">
        <v>0</v>
      </c>
      <c r="E70" s="2" t="s">
        <v>1485</v>
      </c>
      <c r="F70" s="2" t="s">
        <v>1486</v>
      </c>
      <c r="G70" s="2" t="s">
        <v>1487</v>
      </c>
    </row>
    <row r="71" customFormat="false" ht="15" hidden="false" customHeight="false" outlineLevel="0" collapsed="false">
      <c r="A71" s="2" t="s">
        <v>1477</v>
      </c>
      <c r="B71" s="2" t="s">
        <v>1488</v>
      </c>
      <c r="C71" s="2" t="s">
        <v>1489</v>
      </c>
      <c r="D71" s="2" t="n">
        <v>0</v>
      </c>
      <c r="E71" s="2"/>
      <c r="F71" s="2" t="s">
        <v>1490</v>
      </c>
      <c r="G71" s="2" t="s">
        <v>1237</v>
      </c>
    </row>
    <row r="72" customFormat="false" ht="35.05" hidden="false" customHeight="false" outlineLevel="0" collapsed="false">
      <c r="A72" s="2" t="s">
        <v>1491</v>
      </c>
      <c r="B72" s="2" t="s">
        <v>1492</v>
      </c>
      <c r="C72" s="2" t="s">
        <v>1493</v>
      </c>
      <c r="D72" s="2" t="n">
        <v>1</v>
      </c>
      <c r="E72" s="2" t="s">
        <v>1494</v>
      </c>
      <c r="F72" s="2" t="s">
        <v>1495</v>
      </c>
      <c r="G72" s="2" t="s">
        <v>1496</v>
      </c>
    </row>
    <row r="73" customFormat="false" ht="35.05" hidden="false" customHeight="false" outlineLevel="0" collapsed="false">
      <c r="A73" s="2" t="s">
        <v>1491</v>
      </c>
      <c r="B73" s="2" t="s">
        <v>1497</v>
      </c>
      <c r="C73" s="2" t="s">
        <v>1498</v>
      </c>
      <c r="D73" s="2" t="n">
        <v>2</v>
      </c>
      <c r="E73" s="2" t="s">
        <v>1499</v>
      </c>
      <c r="F73" s="2" t="s">
        <v>1500</v>
      </c>
      <c r="G73" s="2"/>
    </row>
    <row r="74" customFormat="false" ht="15" hidden="false" customHeight="false" outlineLevel="0" collapsed="false">
      <c r="A74" s="2" t="s">
        <v>1491</v>
      </c>
      <c r="B74" s="2" t="s">
        <v>1501</v>
      </c>
      <c r="C74" s="2" t="s">
        <v>1502</v>
      </c>
      <c r="D74" s="2" t="n">
        <v>1</v>
      </c>
      <c r="E74" s="2"/>
      <c r="F74" s="2" t="s">
        <v>1503</v>
      </c>
      <c r="G74" s="2" t="s">
        <v>1504</v>
      </c>
    </row>
    <row r="75" customFormat="false" ht="23.85" hidden="false" customHeight="false" outlineLevel="0" collapsed="false">
      <c r="A75" s="2" t="s">
        <v>1491</v>
      </c>
      <c r="B75" s="2" t="s">
        <v>1505</v>
      </c>
      <c r="C75" s="2" t="s">
        <v>1506</v>
      </c>
      <c r="D75" s="2" t="n">
        <v>1</v>
      </c>
      <c r="E75" s="2" t="s">
        <v>1507</v>
      </c>
      <c r="F75" s="2" t="s">
        <v>1508</v>
      </c>
      <c r="G75" s="2" t="s">
        <v>1509</v>
      </c>
    </row>
    <row r="76" customFormat="false" ht="35.05" hidden="false" customHeight="false" outlineLevel="0" collapsed="false">
      <c r="A76" s="2" t="s">
        <v>1510</v>
      </c>
      <c r="B76" s="2" t="s">
        <v>1511</v>
      </c>
      <c r="C76" s="2" t="s">
        <v>1512</v>
      </c>
      <c r="D76" s="2" t="n">
        <v>4</v>
      </c>
      <c r="E76" s="2" t="s">
        <v>1513</v>
      </c>
      <c r="F76" s="2" t="s">
        <v>1514</v>
      </c>
      <c r="G76" s="2"/>
    </row>
    <row r="77" customFormat="false" ht="23.85" hidden="false" customHeight="false" outlineLevel="0" collapsed="false">
      <c r="A77" s="2" t="s">
        <v>1510</v>
      </c>
      <c r="B77" s="2" t="s">
        <v>736</v>
      </c>
      <c r="C77" s="2" t="s">
        <v>1515</v>
      </c>
      <c r="D77" s="2" t="n">
        <v>1</v>
      </c>
      <c r="E77" s="2" t="s">
        <v>1516</v>
      </c>
      <c r="F77" s="2" t="s">
        <v>1517</v>
      </c>
      <c r="G77" s="2" t="s">
        <v>1518</v>
      </c>
    </row>
    <row r="78" customFormat="false" ht="35.05" hidden="false" customHeight="false" outlineLevel="0" collapsed="false">
      <c r="A78" s="2" t="s">
        <v>1510</v>
      </c>
      <c r="B78" s="2" t="s">
        <v>1519</v>
      </c>
      <c r="C78" s="2" t="s">
        <v>1520</v>
      </c>
      <c r="D78" s="2" t="n">
        <v>1</v>
      </c>
      <c r="E78" s="2" t="s">
        <v>1521</v>
      </c>
      <c r="F78" s="2" t="s">
        <v>1522</v>
      </c>
      <c r="G78" s="2" t="s">
        <v>1523</v>
      </c>
    </row>
    <row r="79" customFormat="false" ht="23.85" hidden="false" customHeight="false" outlineLevel="0" collapsed="false">
      <c r="A79" s="2" t="s">
        <v>1510</v>
      </c>
      <c r="B79" s="2" t="s">
        <v>1524</v>
      </c>
      <c r="C79" s="2" t="s">
        <v>1525</v>
      </c>
      <c r="D79" s="2" t="n">
        <v>2</v>
      </c>
      <c r="E79" s="2" t="s">
        <v>1526</v>
      </c>
      <c r="F79" s="2" t="s">
        <v>1527</v>
      </c>
      <c r="G79" s="2" t="s">
        <v>1528</v>
      </c>
    </row>
    <row r="80" customFormat="false" ht="23.85" hidden="false" customHeight="false" outlineLevel="0" collapsed="false">
      <c r="A80" s="2" t="s">
        <v>1510</v>
      </c>
      <c r="B80" s="2" t="s">
        <v>1529</v>
      </c>
      <c r="C80" s="2" t="s">
        <v>1530</v>
      </c>
      <c r="D80" s="2" t="n">
        <v>2</v>
      </c>
      <c r="E80" s="2" t="s">
        <v>1531</v>
      </c>
      <c r="F80" s="2" t="s">
        <v>1532</v>
      </c>
      <c r="G80" s="2"/>
    </row>
    <row r="81" customFormat="false" ht="23.85" hidden="false" customHeight="false" outlineLevel="0" collapsed="false">
      <c r="A81" s="2" t="s">
        <v>1510</v>
      </c>
      <c r="B81" s="2" t="s">
        <v>1533</v>
      </c>
      <c r="C81" s="2" t="s">
        <v>1534</v>
      </c>
      <c r="D81" s="2" t="n">
        <v>5</v>
      </c>
      <c r="E81" s="2" t="s">
        <v>1526</v>
      </c>
      <c r="F81" s="2" t="s">
        <v>1535</v>
      </c>
      <c r="G81" s="2" t="s">
        <v>1536</v>
      </c>
    </row>
    <row r="82" customFormat="false" ht="35.05" hidden="false" customHeight="false" outlineLevel="0" collapsed="false">
      <c r="A82" s="2" t="s">
        <v>1510</v>
      </c>
      <c r="B82" s="2" t="s">
        <v>1537</v>
      </c>
      <c r="C82" s="2" t="s">
        <v>1538</v>
      </c>
      <c r="D82" s="2" t="n">
        <v>1</v>
      </c>
      <c r="E82" s="2" t="s">
        <v>1539</v>
      </c>
      <c r="F82" s="2" t="s">
        <v>1540</v>
      </c>
      <c r="G82" s="2"/>
    </row>
    <row r="83" customFormat="false" ht="15" hidden="false" customHeight="false" outlineLevel="0" collapsed="false">
      <c r="A83" s="2" t="s">
        <v>1510</v>
      </c>
      <c r="B83" s="2" t="s">
        <v>1541</v>
      </c>
      <c r="C83" s="2" t="s">
        <v>1542</v>
      </c>
      <c r="D83" s="2" t="n">
        <v>0</v>
      </c>
      <c r="E83" s="2" t="s">
        <v>1543</v>
      </c>
      <c r="F83" s="2" t="s">
        <v>1458</v>
      </c>
      <c r="G83" s="2" t="s">
        <v>1544</v>
      </c>
    </row>
    <row r="84" customFormat="false" ht="15" hidden="false" customHeight="false" outlineLevel="0" collapsed="false">
      <c r="A84" s="2" t="s">
        <v>1510</v>
      </c>
      <c r="B84" s="2" t="s">
        <v>1545</v>
      </c>
      <c r="C84" s="2" t="s">
        <v>1546</v>
      </c>
      <c r="D84" s="2" t="n">
        <v>1</v>
      </c>
      <c r="E84" s="2" t="s">
        <v>1516</v>
      </c>
      <c r="F84" s="2" t="s">
        <v>1547</v>
      </c>
      <c r="G84" s="2" t="s">
        <v>1548</v>
      </c>
    </row>
    <row r="85" customFormat="false" ht="23.85" hidden="false" customHeight="false" outlineLevel="0" collapsed="false">
      <c r="A85" s="2" t="s">
        <v>1510</v>
      </c>
      <c r="B85" s="2" t="s">
        <v>1549</v>
      </c>
      <c r="C85" s="2" t="s">
        <v>1550</v>
      </c>
      <c r="D85" s="2" t="n">
        <v>1</v>
      </c>
      <c r="E85" s="2" t="s">
        <v>1551</v>
      </c>
      <c r="F85" s="2" t="s">
        <v>1552</v>
      </c>
      <c r="G85" s="2" t="s">
        <v>1553</v>
      </c>
    </row>
    <row r="86" customFormat="false" ht="23.85" hidden="false" customHeight="false" outlineLevel="0" collapsed="false">
      <c r="A86" s="2" t="s">
        <v>1510</v>
      </c>
      <c r="B86" s="2" t="s">
        <v>560</v>
      </c>
      <c r="C86" s="2" t="s">
        <v>1554</v>
      </c>
      <c r="D86" s="2" t="n">
        <v>0</v>
      </c>
      <c r="E86" s="2" t="s">
        <v>1551</v>
      </c>
      <c r="F86" s="2" t="s">
        <v>1463</v>
      </c>
      <c r="G86" s="2" t="s">
        <v>1555</v>
      </c>
    </row>
  </sheetData>
  <autoFilter ref="A1:G8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10"/>
    <col collapsed="false" customWidth="true" hidden="false" outlineLevel="0" max="6" min="6" style="0" width="80"/>
  </cols>
  <sheetData>
    <row r="1" customFormat="false" ht="26.85" hidden="false" customHeight="false" outlineLevel="0" collapsed="false">
      <c r="A1" s="3" t="s">
        <v>1556</v>
      </c>
      <c r="B1" s="3" t="s">
        <v>1557</v>
      </c>
      <c r="C1" s="3" t="s">
        <v>1558</v>
      </c>
      <c r="D1" s="3" t="s">
        <v>1559</v>
      </c>
      <c r="E1" s="3" t="s">
        <v>1560</v>
      </c>
      <c r="F1" s="3" t="s">
        <v>1219</v>
      </c>
    </row>
    <row r="2" customFormat="false" ht="15" hidden="false" customHeight="false" outlineLevel="0" collapsed="false">
      <c r="A2" s="2" t="s">
        <v>1561</v>
      </c>
      <c r="B2" s="2" t="s">
        <v>1562</v>
      </c>
      <c r="C2" s="2" t="s">
        <v>1563</v>
      </c>
      <c r="D2" s="2" t="s">
        <v>1564</v>
      </c>
      <c r="E2" s="2" t="n">
        <v>1</v>
      </c>
      <c r="F2" s="2" t="s">
        <v>1565</v>
      </c>
    </row>
    <row r="3" customFormat="false" ht="23.85" hidden="false" customHeight="false" outlineLevel="0" collapsed="false">
      <c r="A3" s="2" t="s">
        <v>1561</v>
      </c>
      <c r="B3" s="2" t="s">
        <v>1566</v>
      </c>
      <c r="C3" s="2" t="s">
        <v>1567</v>
      </c>
      <c r="D3" s="2" t="s">
        <v>1564</v>
      </c>
      <c r="E3" s="2" t="n">
        <v>13</v>
      </c>
      <c r="F3" s="2" t="s">
        <v>1568</v>
      </c>
    </row>
    <row r="4" customFormat="false" ht="23.85" hidden="false" customHeight="false" outlineLevel="0" collapsed="false">
      <c r="A4" s="2" t="s">
        <v>1561</v>
      </c>
      <c r="B4" s="2" t="s">
        <v>1569</v>
      </c>
      <c r="C4" s="2" t="s">
        <v>1570</v>
      </c>
      <c r="D4" s="2" t="s">
        <v>1564</v>
      </c>
      <c r="E4" s="2" t="n">
        <v>100</v>
      </c>
      <c r="F4" s="2" t="s">
        <v>1571</v>
      </c>
    </row>
    <row r="5" customFormat="false" ht="23.85" hidden="false" customHeight="false" outlineLevel="0" collapsed="false">
      <c r="A5" s="2" t="s">
        <v>1561</v>
      </c>
      <c r="B5" s="2" t="s">
        <v>1572</v>
      </c>
      <c r="C5" s="2" t="s">
        <v>1573</v>
      </c>
      <c r="D5" s="2" t="s">
        <v>1564</v>
      </c>
      <c r="E5" s="2" t="n">
        <v>86</v>
      </c>
      <c r="F5" s="2" t="s">
        <v>1574</v>
      </c>
    </row>
    <row r="6" customFormat="false" ht="23.85" hidden="false" customHeight="false" outlineLevel="0" collapsed="false">
      <c r="A6" s="2" t="s">
        <v>1561</v>
      </c>
      <c r="B6" s="2" t="s">
        <v>1575</v>
      </c>
      <c r="C6" s="2" t="s">
        <v>1576</v>
      </c>
      <c r="D6" s="2" t="s">
        <v>1564</v>
      </c>
      <c r="E6" s="2" t="n">
        <v>13</v>
      </c>
      <c r="F6" s="2" t="s">
        <v>1577</v>
      </c>
    </row>
    <row r="7" customFormat="false" ht="23.85" hidden="false" customHeight="false" outlineLevel="0" collapsed="false">
      <c r="A7" s="2" t="s">
        <v>1561</v>
      </c>
      <c r="B7" s="2" t="s">
        <v>1578</v>
      </c>
      <c r="C7" s="2" t="s">
        <v>1579</v>
      </c>
      <c r="D7" s="2" t="s">
        <v>1564</v>
      </c>
      <c r="E7" s="2" t="n">
        <v>1</v>
      </c>
      <c r="F7" s="2" t="s">
        <v>1580</v>
      </c>
    </row>
    <row r="8" customFormat="false" ht="23.85" hidden="false" customHeight="false" outlineLevel="0" collapsed="false">
      <c r="A8" s="2" t="s">
        <v>1561</v>
      </c>
      <c r="B8" s="2" t="s">
        <v>1581</v>
      </c>
      <c r="C8" s="2" t="s">
        <v>1582</v>
      </c>
      <c r="D8" s="2" t="s">
        <v>1564</v>
      </c>
      <c r="E8" s="2" t="n">
        <v>41</v>
      </c>
      <c r="F8" s="2" t="s">
        <v>1583</v>
      </c>
    </row>
    <row r="9" customFormat="false" ht="23.85" hidden="false" customHeight="false" outlineLevel="0" collapsed="false">
      <c r="A9" s="2" t="s">
        <v>1561</v>
      </c>
      <c r="B9" s="2" t="s">
        <v>1584</v>
      </c>
      <c r="C9" s="2" t="s">
        <v>1579</v>
      </c>
      <c r="D9" s="2" t="s">
        <v>1564</v>
      </c>
      <c r="E9" s="2" t="n">
        <v>11</v>
      </c>
      <c r="F9" s="2" t="s">
        <v>1585</v>
      </c>
    </row>
    <row r="10" customFormat="false" ht="23.85" hidden="false" customHeight="false" outlineLevel="0" collapsed="false">
      <c r="A10" s="2" t="s">
        <v>1561</v>
      </c>
      <c r="B10" s="2" t="s">
        <v>1586</v>
      </c>
      <c r="C10" s="2" t="s">
        <v>1587</v>
      </c>
      <c r="D10" s="2" t="s">
        <v>1564</v>
      </c>
      <c r="E10" s="2" t="n">
        <v>14</v>
      </c>
      <c r="F10" s="2" t="s">
        <v>1588</v>
      </c>
    </row>
    <row r="11" customFormat="false" ht="23.85" hidden="false" customHeight="false" outlineLevel="0" collapsed="false">
      <c r="A11" s="2" t="s">
        <v>1561</v>
      </c>
      <c r="B11" s="2" t="s">
        <v>1589</v>
      </c>
      <c r="C11" s="2" t="s">
        <v>1590</v>
      </c>
      <c r="D11" s="2" t="s">
        <v>1564</v>
      </c>
      <c r="E11" s="2" t="n">
        <v>8</v>
      </c>
      <c r="F11" s="2" t="s">
        <v>1591</v>
      </c>
    </row>
    <row r="12" customFormat="false" ht="23.85" hidden="false" customHeight="false" outlineLevel="0" collapsed="false">
      <c r="A12" s="2" t="s">
        <v>1561</v>
      </c>
      <c r="B12" s="2" t="s">
        <v>1592</v>
      </c>
      <c r="C12" s="2" t="s">
        <v>1593</v>
      </c>
      <c r="D12" s="2" t="s">
        <v>1564</v>
      </c>
      <c r="E12" s="2" t="n">
        <v>2</v>
      </c>
      <c r="F12" s="2" t="s">
        <v>1594</v>
      </c>
    </row>
    <row r="13" customFormat="false" ht="23.85" hidden="false" customHeight="false" outlineLevel="0" collapsed="false">
      <c r="A13" s="2" t="s">
        <v>1561</v>
      </c>
      <c r="B13" s="2" t="s">
        <v>1595</v>
      </c>
      <c r="C13" s="2" t="s">
        <v>1596</v>
      </c>
      <c r="D13" s="2" t="s">
        <v>1564</v>
      </c>
      <c r="E13" s="2" t="n">
        <v>1</v>
      </c>
      <c r="F13" s="2" t="s">
        <v>1597</v>
      </c>
    </row>
    <row r="14" customFormat="false" ht="23.85" hidden="false" customHeight="false" outlineLevel="0" collapsed="false">
      <c r="A14" s="2" t="s">
        <v>1561</v>
      </c>
      <c r="B14" s="2" t="s">
        <v>1598</v>
      </c>
      <c r="C14" s="2" t="s">
        <v>1599</v>
      </c>
      <c r="D14" s="2" t="s">
        <v>1564</v>
      </c>
      <c r="E14" s="2" t="n">
        <v>84</v>
      </c>
      <c r="F14" s="2" t="s">
        <v>1600</v>
      </c>
    </row>
    <row r="15" customFormat="false" ht="23.85" hidden="false" customHeight="false" outlineLevel="0" collapsed="false">
      <c r="A15" s="2" t="s">
        <v>1561</v>
      </c>
      <c r="B15" s="2" t="s">
        <v>1601</v>
      </c>
      <c r="C15" s="2" t="s">
        <v>1602</v>
      </c>
      <c r="D15" s="2" t="s">
        <v>1564</v>
      </c>
      <c r="E15" s="2" t="n">
        <v>11</v>
      </c>
      <c r="F15" s="2" t="s">
        <v>1603</v>
      </c>
    </row>
    <row r="16" customFormat="false" ht="23.85" hidden="false" customHeight="false" outlineLevel="0" collapsed="false">
      <c r="A16" s="2" t="s">
        <v>1561</v>
      </c>
      <c r="B16" s="2" t="s">
        <v>1604</v>
      </c>
      <c r="C16" s="2" t="s">
        <v>1605</v>
      </c>
      <c r="D16" s="2" t="s">
        <v>1564</v>
      </c>
      <c r="E16" s="2" t="n">
        <v>11</v>
      </c>
      <c r="F16" s="2" t="s">
        <v>1606</v>
      </c>
    </row>
    <row r="17" customFormat="false" ht="35.05" hidden="false" customHeight="false" outlineLevel="0" collapsed="false">
      <c r="A17" s="2" t="s">
        <v>1561</v>
      </c>
      <c r="B17" s="2" t="s">
        <v>1607</v>
      </c>
      <c r="C17" s="2" t="s">
        <v>1608</v>
      </c>
      <c r="D17" s="2" t="s">
        <v>1564</v>
      </c>
      <c r="E17" s="2" t="n">
        <v>2</v>
      </c>
      <c r="F17" s="2" t="s">
        <v>1609</v>
      </c>
    </row>
    <row r="18" customFormat="false" ht="35.05" hidden="false" customHeight="false" outlineLevel="0" collapsed="false">
      <c r="A18" s="2" t="s">
        <v>1561</v>
      </c>
      <c r="B18" s="2" t="s">
        <v>1610</v>
      </c>
      <c r="C18" s="2" t="s">
        <v>1611</v>
      </c>
      <c r="D18" s="2" t="s">
        <v>1564</v>
      </c>
      <c r="E18" s="2" t="n">
        <v>4</v>
      </c>
      <c r="F18" s="2" t="s">
        <v>1612</v>
      </c>
    </row>
    <row r="19" customFormat="false" ht="15" hidden="false" customHeight="false" outlineLevel="0" collapsed="false">
      <c r="A19" s="2" t="s">
        <v>1561</v>
      </c>
      <c r="B19" s="2" t="s">
        <v>1613</v>
      </c>
      <c r="C19" s="2" t="s">
        <v>1614</v>
      </c>
      <c r="D19" s="2" t="s">
        <v>1564</v>
      </c>
      <c r="E19" s="2" t="n">
        <v>0</v>
      </c>
      <c r="F19" s="2" t="s">
        <v>1615</v>
      </c>
    </row>
    <row r="20" customFormat="false" ht="15" hidden="false" customHeight="false" outlineLevel="0" collapsed="false">
      <c r="A20" s="2" t="s">
        <v>1561</v>
      </c>
      <c r="B20" s="2" t="s">
        <v>1616</v>
      </c>
      <c r="C20" s="2" t="s">
        <v>1617</v>
      </c>
      <c r="D20" s="2" t="s">
        <v>1564</v>
      </c>
      <c r="E20" s="2" t="n">
        <v>0</v>
      </c>
      <c r="F20" s="2" t="s">
        <v>1615</v>
      </c>
    </row>
    <row r="21" customFormat="false" ht="15" hidden="false" customHeight="false" outlineLevel="0" collapsed="false">
      <c r="A21" s="2" t="s">
        <v>1561</v>
      </c>
      <c r="B21" s="2" t="s">
        <v>1618</v>
      </c>
      <c r="C21" s="2" t="s">
        <v>1619</v>
      </c>
      <c r="D21" s="2" t="s">
        <v>1564</v>
      </c>
      <c r="E21" s="2" t="n">
        <v>0</v>
      </c>
      <c r="F21" s="2" t="s">
        <v>1615</v>
      </c>
    </row>
    <row r="22" customFormat="false" ht="15" hidden="false" customHeight="false" outlineLevel="0" collapsed="false">
      <c r="A22" s="2" t="s">
        <v>1561</v>
      </c>
      <c r="B22" s="2" t="s">
        <v>1620</v>
      </c>
      <c r="C22" s="2" t="s">
        <v>1621</v>
      </c>
      <c r="D22" s="2" t="s">
        <v>1564</v>
      </c>
      <c r="E22" s="2" t="n">
        <v>0</v>
      </c>
      <c r="F22" s="2" t="s">
        <v>1615</v>
      </c>
    </row>
    <row r="23" customFormat="false" ht="15" hidden="false" customHeight="false" outlineLevel="0" collapsed="false">
      <c r="A23" s="2" t="s">
        <v>1561</v>
      </c>
      <c r="B23" s="2" t="s">
        <v>1622</v>
      </c>
      <c r="C23" s="2" t="s">
        <v>1623</v>
      </c>
      <c r="D23" s="2" t="s">
        <v>1564</v>
      </c>
      <c r="E23" s="2" t="n">
        <v>0</v>
      </c>
      <c r="F23" s="2" t="s">
        <v>1615</v>
      </c>
    </row>
    <row r="24" customFormat="false" ht="15" hidden="false" customHeight="false" outlineLevel="0" collapsed="false">
      <c r="A24" s="2" t="s">
        <v>1561</v>
      </c>
      <c r="B24" s="2" t="s">
        <v>1624</v>
      </c>
      <c r="C24" s="2" t="s">
        <v>1625</v>
      </c>
      <c r="D24" s="2" t="s">
        <v>1564</v>
      </c>
      <c r="E24" s="2" t="n">
        <v>0</v>
      </c>
      <c r="F24" s="2" t="s">
        <v>1615</v>
      </c>
    </row>
    <row r="25" customFormat="false" ht="23.85" hidden="false" customHeight="false" outlineLevel="0" collapsed="false">
      <c r="A25" s="2" t="s">
        <v>1561</v>
      </c>
      <c r="B25" s="2" t="s">
        <v>1626</v>
      </c>
      <c r="C25" s="2" t="s">
        <v>1627</v>
      </c>
      <c r="D25" s="2" t="s">
        <v>1628</v>
      </c>
      <c r="E25" s="2" t="n">
        <v>5</v>
      </c>
      <c r="F25" s="2" t="s">
        <v>1629</v>
      </c>
    </row>
    <row r="26" customFormat="false" ht="23.85" hidden="false" customHeight="false" outlineLevel="0" collapsed="false">
      <c r="A26" s="2" t="s">
        <v>1630</v>
      </c>
      <c r="B26" s="2" t="s">
        <v>1631</v>
      </c>
      <c r="C26" s="2" t="s">
        <v>1632</v>
      </c>
      <c r="D26" s="2" t="s">
        <v>1270</v>
      </c>
      <c r="E26" s="2" t="n">
        <v>0</v>
      </c>
      <c r="F26" s="2" t="s">
        <v>1633</v>
      </c>
    </row>
    <row r="27" customFormat="false" ht="23.85" hidden="false" customHeight="false" outlineLevel="0" collapsed="false">
      <c r="A27" s="2" t="s">
        <v>1630</v>
      </c>
      <c r="B27" s="2" t="s">
        <v>1634</v>
      </c>
      <c r="C27" s="2" t="s">
        <v>1635</v>
      </c>
      <c r="D27" s="2" t="s">
        <v>1270</v>
      </c>
      <c r="E27" s="2" t="n">
        <v>4</v>
      </c>
      <c r="F27" s="2" t="s">
        <v>1636</v>
      </c>
    </row>
    <row r="28" customFormat="false" ht="23.85" hidden="false" customHeight="false" outlineLevel="0" collapsed="false">
      <c r="A28" s="2" t="s">
        <v>1630</v>
      </c>
      <c r="B28" s="2" t="s">
        <v>1637</v>
      </c>
      <c r="C28" s="2" t="s">
        <v>1638</v>
      </c>
      <c r="D28" s="2" t="s">
        <v>1270</v>
      </c>
      <c r="E28" s="2" t="n">
        <v>26</v>
      </c>
      <c r="F28" s="2" t="s">
        <v>1639</v>
      </c>
    </row>
    <row r="29" customFormat="false" ht="15" hidden="false" customHeight="false" outlineLevel="0" collapsed="false">
      <c r="A29" s="2" t="s">
        <v>1630</v>
      </c>
      <c r="B29" s="2" t="s">
        <v>1640</v>
      </c>
      <c r="C29" s="2" t="s">
        <v>1641</v>
      </c>
      <c r="D29" s="2" t="s">
        <v>1642</v>
      </c>
      <c r="E29" s="2" t="n">
        <v>35</v>
      </c>
      <c r="F29" s="2" t="s">
        <v>1643</v>
      </c>
    </row>
    <row r="30" customFormat="false" ht="15" hidden="false" customHeight="false" outlineLevel="0" collapsed="false">
      <c r="A30" s="2" t="s">
        <v>1630</v>
      </c>
      <c r="B30" s="2" t="s">
        <v>1644</v>
      </c>
      <c r="C30" s="2" t="s">
        <v>1645</v>
      </c>
      <c r="D30" s="2" t="s">
        <v>1646</v>
      </c>
      <c r="E30" s="2" t="n">
        <v>25</v>
      </c>
      <c r="F30" s="2" t="s">
        <v>1647</v>
      </c>
    </row>
    <row r="31" customFormat="false" ht="15" hidden="false" customHeight="false" outlineLevel="0" collapsed="false">
      <c r="A31" s="2" t="s">
        <v>1630</v>
      </c>
      <c r="B31" s="2" t="s">
        <v>1648</v>
      </c>
      <c r="C31" s="2" t="s">
        <v>1649</v>
      </c>
      <c r="D31" s="2" t="s">
        <v>1646</v>
      </c>
      <c r="E31" s="2" t="n">
        <v>22</v>
      </c>
      <c r="F31" s="2" t="s">
        <v>1650</v>
      </c>
    </row>
    <row r="32" customFormat="false" ht="15" hidden="false" customHeight="false" outlineLevel="0" collapsed="false">
      <c r="A32" s="2" t="s">
        <v>1630</v>
      </c>
      <c r="B32" s="2" t="s">
        <v>1651</v>
      </c>
      <c r="C32" s="2" t="s">
        <v>1652</v>
      </c>
      <c r="D32" s="2" t="s">
        <v>1653</v>
      </c>
      <c r="E32" s="2" t="n">
        <v>79</v>
      </c>
      <c r="F32" s="2" t="s">
        <v>1654</v>
      </c>
    </row>
    <row r="33" customFormat="false" ht="15" hidden="false" customHeight="false" outlineLevel="0" collapsed="false">
      <c r="A33" s="2" t="s">
        <v>1655</v>
      </c>
      <c r="B33" s="2" t="s">
        <v>1656</v>
      </c>
      <c r="C33" s="2" t="s">
        <v>1657</v>
      </c>
      <c r="D33" s="2" t="s">
        <v>1270</v>
      </c>
      <c r="E33" s="2" t="n">
        <v>4</v>
      </c>
      <c r="F33" s="2"/>
    </row>
    <row r="34" customFormat="false" ht="23.85" hidden="false" customHeight="false" outlineLevel="0" collapsed="false">
      <c r="A34" s="2" t="s">
        <v>1655</v>
      </c>
      <c r="B34" s="2" t="s">
        <v>1658</v>
      </c>
      <c r="C34" s="2" t="s">
        <v>1659</v>
      </c>
      <c r="D34" s="2" t="s">
        <v>1270</v>
      </c>
      <c r="E34" s="2" t="n">
        <v>1</v>
      </c>
      <c r="F34" s="2" t="s">
        <v>1660</v>
      </c>
    </row>
    <row r="35" customFormat="false" ht="23.85" hidden="false" customHeight="false" outlineLevel="0" collapsed="false">
      <c r="A35" s="2" t="s">
        <v>1655</v>
      </c>
      <c r="B35" s="2" t="s">
        <v>1661</v>
      </c>
      <c r="C35" s="2" t="s">
        <v>1662</v>
      </c>
      <c r="D35" s="2" t="s">
        <v>1270</v>
      </c>
      <c r="E35" s="2" t="n">
        <v>12</v>
      </c>
      <c r="F35" s="2" t="s">
        <v>1663</v>
      </c>
    </row>
    <row r="36" customFormat="false" ht="15" hidden="false" customHeight="false" outlineLevel="0" collapsed="false">
      <c r="A36" s="2" t="s">
        <v>1655</v>
      </c>
      <c r="B36" s="2" t="s">
        <v>1664</v>
      </c>
      <c r="C36" s="2" t="s">
        <v>1665</v>
      </c>
      <c r="D36" s="2" t="s">
        <v>1653</v>
      </c>
      <c r="E36" s="2" t="n">
        <v>10</v>
      </c>
      <c r="F36" s="2" t="s">
        <v>1666</v>
      </c>
    </row>
    <row r="37" customFormat="false" ht="23.85" hidden="false" customHeight="false" outlineLevel="0" collapsed="false">
      <c r="A37" s="2" t="s">
        <v>1667</v>
      </c>
      <c r="B37" s="2" t="s">
        <v>1668</v>
      </c>
      <c r="C37" s="2" t="s">
        <v>1669</v>
      </c>
      <c r="D37" s="2" t="s">
        <v>1670</v>
      </c>
      <c r="E37" s="2" t="n">
        <v>1</v>
      </c>
      <c r="F37" s="2" t="s">
        <v>1671</v>
      </c>
    </row>
    <row r="38" customFormat="false" ht="15" hidden="false" customHeight="false" outlineLevel="0" collapsed="false">
      <c r="A38" s="2" t="s">
        <v>1672</v>
      </c>
      <c r="B38" s="2" t="s">
        <v>1673</v>
      </c>
      <c r="C38" s="2" t="s">
        <v>1674</v>
      </c>
      <c r="D38" s="2" t="s">
        <v>1270</v>
      </c>
      <c r="E38" s="2" t="n">
        <v>4</v>
      </c>
      <c r="F38" s="2" t="s">
        <v>1675</v>
      </c>
    </row>
    <row r="39" customFormat="false" ht="15" hidden="false" customHeight="false" outlineLevel="0" collapsed="false">
      <c r="A39" s="2" t="s">
        <v>1672</v>
      </c>
      <c r="B39" s="2" t="s">
        <v>1676</v>
      </c>
      <c r="C39" s="2" t="s">
        <v>1674</v>
      </c>
      <c r="D39" s="2" t="s">
        <v>1270</v>
      </c>
      <c r="E39" s="2" t="n">
        <v>19</v>
      </c>
      <c r="F39" s="2" t="s">
        <v>1677</v>
      </c>
    </row>
    <row r="40" customFormat="false" ht="15" hidden="false" customHeight="false" outlineLevel="0" collapsed="false">
      <c r="A40" s="2" t="s">
        <v>1672</v>
      </c>
      <c r="B40" s="2" t="s">
        <v>1678</v>
      </c>
      <c r="C40" s="2" t="s">
        <v>1674</v>
      </c>
      <c r="D40" s="2" t="s">
        <v>1270</v>
      </c>
      <c r="E40" s="2" t="n">
        <v>2</v>
      </c>
      <c r="F40" s="2" t="s">
        <v>1679</v>
      </c>
    </row>
    <row r="41" customFormat="false" ht="15" hidden="false" customHeight="false" outlineLevel="0" collapsed="false">
      <c r="A41" s="2" t="s">
        <v>1672</v>
      </c>
      <c r="B41" s="2" t="s">
        <v>1680</v>
      </c>
      <c r="C41" s="2" t="s">
        <v>1674</v>
      </c>
      <c r="D41" s="2" t="s">
        <v>1270</v>
      </c>
      <c r="E41" s="2" t="n">
        <v>7</v>
      </c>
      <c r="F41" s="2" t="s">
        <v>1681</v>
      </c>
    </row>
    <row r="42" customFormat="false" ht="15" hidden="false" customHeight="false" outlineLevel="0" collapsed="false">
      <c r="A42" s="2" t="s">
        <v>1272</v>
      </c>
      <c r="B42" s="2" t="s">
        <v>1682</v>
      </c>
      <c r="C42" s="2"/>
      <c r="D42" s="2" t="s">
        <v>1270</v>
      </c>
      <c r="E42" s="2" t="n">
        <v>29</v>
      </c>
      <c r="F42" s="2" t="s">
        <v>1683</v>
      </c>
    </row>
    <row r="43" customFormat="false" ht="15" hidden="false" customHeight="false" outlineLevel="0" collapsed="false">
      <c r="A43" s="2" t="s">
        <v>1272</v>
      </c>
      <c r="B43" s="2" t="s">
        <v>1684</v>
      </c>
      <c r="C43" s="2"/>
      <c r="D43" s="2" t="s">
        <v>1270</v>
      </c>
      <c r="E43" s="2" t="n">
        <v>20</v>
      </c>
      <c r="F43" s="2" t="s">
        <v>1685</v>
      </c>
    </row>
    <row r="44" customFormat="false" ht="15" hidden="false" customHeight="false" outlineLevel="0" collapsed="false">
      <c r="A44" s="2" t="s">
        <v>1272</v>
      </c>
      <c r="B44" s="2" t="s">
        <v>1437</v>
      </c>
      <c r="C44" s="2"/>
      <c r="D44" s="2" t="s">
        <v>1270</v>
      </c>
      <c r="E44" s="2" t="n">
        <v>47</v>
      </c>
      <c r="F44" s="2" t="s">
        <v>1686</v>
      </c>
    </row>
    <row r="45" customFormat="false" ht="15" hidden="false" customHeight="false" outlineLevel="0" collapsed="false">
      <c r="A45" s="2" t="s">
        <v>1272</v>
      </c>
      <c r="B45" s="2" t="s">
        <v>1687</v>
      </c>
      <c r="C45" s="2"/>
      <c r="D45" s="2" t="s">
        <v>1270</v>
      </c>
      <c r="E45" s="2" t="n">
        <v>18</v>
      </c>
      <c r="F45" s="2" t="s">
        <v>1688</v>
      </c>
    </row>
    <row r="46" customFormat="false" ht="15" hidden="false" customHeight="false" outlineLevel="0" collapsed="false">
      <c r="A46" s="2" t="s">
        <v>1272</v>
      </c>
      <c r="B46" s="2" t="s">
        <v>1689</v>
      </c>
      <c r="C46" s="2"/>
      <c r="D46" s="2" t="s">
        <v>1270</v>
      </c>
      <c r="E46" s="2" t="n">
        <v>8</v>
      </c>
      <c r="F46" s="2" t="s">
        <v>1690</v>
      </c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</row>
    <row r="48" customFormat="false" ht="15" hidden="false" customHeight="false" outlineLevel="0" collapsed="false">
      <c r="A48" s="2" t="s">
        <v>1691</v>
      </c>
      <c r="B48" s="2"/>
      <c r="C48" s="2"/>
      <c r="D48" s="2"/>
      <c r="E48" s="2"/>
      <c r="F48" s="2"/>
    </row>
    <row r="49" customFormat="false" ht="79.85" hidden="false" customHeight="false" outlineLevel="0" collapsed="false">
      <c r="A49" s="2"/>
      <c r="B49" s="2" t="s">
        <v>1692</v>
      </c>
      <c r="C49" s="2"/>
      <c r="D49" s="2"/>
      <c r="E49" s="2"/>
      <c r="F49" s="2"/>
    </row>
    <row r="50" customFormat="false" ht="68.65" hidden="false" customHeight="false" outlineLevel="0" collapsed="false">
      <c r="A50" s="2"/>
      <c r="B50" s="2" t="s">
        <v>1693</v>
      </c>
      <c r="C50" s="2"/>
      <c r="D50" s="2"/>
      <c r="E50" s="2"/>
      <c r="F50" s="2"/>
    </row>
    <row r="51" customFormat="false" ht="35.05" hidden="false" customHeight="false" outlineLevel="0" collapsed="false">
      <c r="A51" s="2"/>
      <c r="B51" s="2" t="s">
        <v>1694</v>
      </c>
      <c r="C51" s="2"/>
      <c r="D51" s="2"/>
      <c r="E51" s="2"/>
      <c r="F51" s="2"/>
    </row>
    <row r="52" customFormat="false" ht="57.45" hidden="false" customHeight="false" outlineLevel="0" collapsed="false">
      <c r="A52" s="2"/>
      <c r="B52" s="2" t="s">
        <v>1695</v>
      </c>
      <c r="C52" s="2"/>
      <c r="D52" s="2"/>
      <c r="E52" s="2"/>
      <c r="F52" s="2"/>
    </row>
    <row r="53" customFormat="false" ht="57.45" hidden="false" customHeight="false" outlineLevel="0" collapsed="false">
      <c r="A53" s="2"/>
      <c r="B53" s="2" t="s">
        <v>1696</v>
      </c>
      <c r="C53" s="2"/>
      <c r="D53" s="2"/>
      <c r="E53" s="2"/>
      <c r="F53" s="2"/>
    </row>
    <row r="54" customFormat="false" ht="102.2" hidden="false" customHeight="false" outlineLevel="0" collapsed="false">
      <c r="A54" s="2"/>
      <c r="B54" s="2" t="s">
        <v>1697</v>
      </c>
      <c r="C54" s="2"/>
      <c r="D54" s="2"/>
      <c r="E54" s="2"/>
      <c r="F54" s="2"/>
    </row>
    <row r="55" customFormat="false" ht="68.65" hidden="false" customHeight="false" outlineLevel="0" collapsed="false">
      <c r="A55" s="2"/>
      <c r="B55" s="2" t="s">
        <v>1698</v>
      </c>
      <c r="C55" s="2"/>
      <c r="D55" s="2"/>
      <c r="E55" s="2"/>
      <c r="F55" s="2"/>
    </row>
    <row r="56" customFormat="false" ht="35.05" hidden="false" customHeight="false" outlineLevel="0" collapsed="false">
      <c r="A56" s="2"/>
      <c r="B56" s="2" t="s">
        <v>1699</v>
      </c>
      <c r="C56" s="2"/>
      <c r="D56" s="2"/>
      <c r="E56" s="2"/>
      <c r="F56" s="2"/>
    </row>
    <row r="57" customFormat="false" ht="57.45" hidden="false" customHeight="false" outlineLevel="0" collapsed="false">
      <c r="A57" s="2"/>
      <c r="B57" s="2" t="s">
        <v>1700</v>
      </c>
      <c r="C57" s="2"/>
      <c r="D57" s="2"/>
      <c r="E57" s="2"/>
      <c r="F57" s="2"/>
    </row>
    <row r="58" customFormat="false" ht="35.05" hidden="false" customHeight="false" outlineLevel="0" collapsed="false">
      <c r="A58" s="2"/>
      <c r="B58" s="2" t="s">
        <v>1701</v>
      </c>
      <c r="C58" s="2"/>
      <c r="D58" s="2"/>
      <c r="E58" s="2"/>
      <c r="F58" s="2"/>
    </row>
    <row r="59" customFormat="false" ht="91" hidden="false" customHeight="false" outlineLevel="0" collapsed="false">
      <c r="A59" s="2"/>
      <c r="B59" s="2" t="s">
        <v>1702</v>
      </c>
      <c r="C59" s="2"/>
      <c r="D59" s="2"/>
      <c r="E59" s="2"/>
      <c r="F59" s="2"/>
    </row>
    <row r="60" customFormat="false" ht="68.65" hidden="false" customHeight="false" outlineLevel="0" collapsed="false">
      <c r="A60" s="2"/>
      <c r="B60" s="2" t="s">
        <v>1703</v>
      </c>
      <c r="C60" s="2"/>
      <c r="D60" s="2"/>
      <c r="E60" s="2"/>
      <c r="F60" s="2"/>
    </row>
    <row r="61" customFormat="false" ht="68.65" hidden="false" customHeight="false" outlineLevel="0" collapsed="false">
      <c r="A61" s="2"/>
      <c r="B61" s="2" t="s">
        <v>1704</v>
      </c>
      <c r="C61" s="2"/>
      <c r="D61" s="2"/>
      <c r="E61" s="2"/>
      <c r="F61" s="2"/>
    </row>
    <row r="62" customFormat="false" ht="46.25" hidden="false" customHeight="false" outlineLevel="0" collapsed="false">
      <c r="A62" s="2"/>
      <c r="B62" s="2" t="s">
        <v>1705</v>
      </c>
      <c r="C62" s="2"/>
      <c r="D62" s="2"/>
      <c r="E62" s="2"/>
      <c r="F62" s="2"/>
    </row>
    <row r="63" customFormat="false" ht="46.25" hidden="false" customHeight="false" outlineLevel="0" collapsed="false">
      <c r="A63" s="2"/>
      <c r="B63" s="2" t="s">
        <v>1706</v>
      </c>
      <c r="C63" s="2"/>
      <c r="D63" s="2"/>
      <c r="E63" s="2"/>
      <c r="F63" s="2"/>
    </row>
    <row r="64" customFormat="false" ht="57.45" hidden="false" customHeight="false" outlineLevel="0" collapsed="false">
      <c r="A64" s="2"/>
      <c r="B64" s="2" t="s">
        <v>1707</v>
      </c>
      <c r="C64" s="2"/>
      <c r="D64" s="2"/>
      <c r="E64" s="2"/>
      <c r="F64" s="2"/>
    </row>
    <row r="65" customFormat="false" ht="57.45" hidden="false" customHeight="false" outlineLevel="0" collapsed="false">
      <c r="A65" s="2"/>
      <c r="B65" s="2" t="s">
        <v>1708</v>
      </c>
      <c r="C65" s="2"/>
      <c r="D65" s="2"/>
      <c r="E65" s="2"/>
      <c r="F65" s="2"/>
    </row>
    <row r="66" customFormat="false" ht="57.45" hidden="false" customHeight="false" outlineLevel="0" collapsed="false">
      <c r="A66" s="2"/>
      <c r="B66" s="2" t="s">
        <v>1709</v>
      </c>
      <c r="C66" s="2"/>
      <c r="D66" s="2"/>
      <c r="E66" s="2"/>
      <c r="F66" s="2"/>
    </row>
    <row r="67" customFormat="false" ht="147" hidden="false" customHeight="false" outlineLevel="0" collapsed="false">
      <c r="A67" s="2"/>
      <c r="B67" s="2" t="s">
        <v>1710</v>
      </c>
      <c r="C67" s="2"/>
      <c r="D67" s="2"/>
      <c r="E67" s="2"/>
      <c r="F67" s="2"/>
    </row>
    <row r="68" customFormat="false" ht="46.25" hidden="false" customHeight="false" outlineLevel="0" collapsed="false">
      <c r="A68" s="2"/>
      <c r="B68" s="2" t="s">
        <v>1711</v>
      </c>
      <c r="C68" s="2"/>
      <c r="D68" s="2"/>
      <c r="E68" s="2"/>
      <c r="F68" s="2"/>
    </row>
  </sheetData>
  <autoFilter ref="A1:F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3" min="3" style="0" width="8"/>
    <col collapsed="false" customWidth="true" hidden="false" outlineLevel="0" max="4" min="4" style="0" width="120"/>
  </cols>
  <sheetData>
    <row r="1" customFormat="false" ht="15" hidden="false" customHeight="false" outlineLevel="0" collapsed="false">
      <c r="A1" s="3" t="s">
        <v>1556</v>
      </c>
      <c r="B1" s="3" t="s">
        <v>1558</v>
      </c>
      <c r="C1" s="3" t="s">
        <v>1712</v>
      </c>
      <c r="D1" s="3" t="s">
        <v>21</v>
      </c>
    </row>
    <row r="2" customFormat="false" ht="23.85" hidden="false" customHeight="false" outlineLevel="0" collapsed="false">
      <c r="A2" s="2" t="s">
        <v>1713</v>
      </c>
      <c r="B2" s="2" t="s">
        <v>1714</v>
      </c>
      <c r="C2" s="2" t="n">
        <v>11</v>
      </c>
      <c r="D2" s="2" t="s">
        <v>1715</v>
      </c>
    </row>
    <row r="3" customFormat="false" ht="15" hidden="false" customHeight="false" outlineLevel="0" collapsed="false">
      <c r="A3" s="2" t="s">
        <v>1713</v>
      </c>
      <c r="B3" s="2" t="s">
        <v>1716</v>
      </c>
      <c r="C3" s="2" t="n">
        <v>5</v>
      </c>
      <c r="D3" s="2" t="s">
        <v>1717</v>
      </c>
    </row>
    <row r="4" customFormat="false" ht="15" hidden="false" customHeight="false" outlineLevel="0" collapsed="false">
      <c r="A4" s="2" t="s">
        <v>1713</v>
      </c>
      <c r="B4" s="2" t="s">
        <v>1718</v>
      </c>
      <c r="C4" s="2" t="n">
        <v>3</v>
      </c>
      <c r="D4" s="2" t="s">
        <v>1719</v>
      </c>
    </row>
    <row r="5" customFormat="false" ht="15" hidden="false" customHeight="false" outlineLevel="0" collapsed="false">
      <c r="A5" s="2" t="s">
        <v>1713</v>
      </c>
      <c r="B5" s="2" t="s">
        <v>1720</v>
      </c>
      <c r="C5" s="2" t="n">
        <v>3</v>
      </c>
      <c r="D5" s="2" t="s">
        <v>1721</v>
      </c>
    </row>
    <row r="6" customFormat="false" ht="15" hidden="false" customHeight="false" outlineLevel="0" collapsed="false">
      <c r="A6" s="2" t="s">
        <v>1713</v>
      </c>
      <c r="B6" s="2" t="s">
        <v>1722</v>
      </c>
      <c r="C6" s="2" t="n">
        <v>2</v>
      </c>
      <c r="D6" s="2" t="s">
        <v>1723</v>
      </c>
    </row>
    <row r="7" customFormat="false" ht="15" hidden="false" customHeight="false" outlineLevel="0" collapsed="false">
      <c r="A7" s="2" t="s">
        <v>1713</v>
      </c>
      <c r="B7" s="2" t="s">
        <v>1724</v>
      </c>
      <c r="C7" s="2" t="n">
        <v>2</v>
      </c>
      <c r="D7" s="2" t="s">
        <v>1725</v>
      </c>
    </row>
    <row r="8" customFormat="false" ht="15" hidden="false" customHeight="false" outlineLevel="0" collapsed="false">
      <c r="A8" s="2" t="s">
        <v>1713</v>
      </c>
      <c r="B8" s="2" t="s">
        <v>1726</v>
      </c>
      <c r="C8" s="2" t="n">
        <v>2</v>
      </c>
      <c r="D8" s="2" t="s">
        <v>1727</v>
      </c>
    </row>
    <row r="9" customFormat="false" ht="15" hidden="false" customHeight="false" outlineLevel="0" collapsed="false">
      <c r="A9" s="2" t="s">
        <v>1713</v>
      </c>
      <c r="B9" s="2" t="s">
        <v>1728</v>
      </c>
      <c r="C9" s="2" t="n">
        <v>2</v>
      </c>
      <c r="D9" s="2" t="s">
        <v>1729</v>
      </c>
    </row>
    <row r="10" customFormat="false" ht="15" hidden="false" customHeight="false" outlineLevel="0" collapsed="false">
      <c r="A10" s="2" t="s">
        <v>1713</v>
      </c>
      <c r="B10" s="2" t="s">
        <v>1730</v>
      </c>
      <c r="C10" s="2" t="n">
        <v>1</v>
      </c>
      <c r="D10" s="2" t="s">
        <v>1731</v>
      </c>
    </row>
    <row r="11" customFormat="false" ht="15" hidden="false" customHeight="false" outlineLevel="0" collapsed="false">
      <c r="A11" s="2" t="s">
        <v>1713</v>
      </c>
      <c r="B11" s="2" t="s">
        <v>1732</v>
      </c>
      <c r="C11" s="2" t="n">
        <v>1</v>
      </c>
      <c r="D11" s="2" t="s">
        <v>1733</v>
      </c>
    </row>
    <row r="12" customFormat="false" ht="15" hidden="false" customHeight="false" outlineLevel="0" collapsed="false">
      <c r="A12" s="2" t="s">
        <v>1713</v>
      </c>
      <c r="B12" s="2" t="s">
        <v>1734</v>
      </c>
      <c r="C12" s="2" t="n">
        <v>1</v>
      </c>
      <c r="D12" s="2" t="s">
        <v>1388</v>
      </c>
    </row>
    <row r="13" customFormat="false" ht="15" hidden="false" customHeight="false" outlineLevel="0" collapsed="false">
      <c r="A13" s="2" t="s">
        <v>1713</v>
      </c>
      <c r="B13" s="2" t="s">
        <v>1735</v>
      </c>
      <c r="C13" s="2" t="n">
        <v>1</v>
      </c>
      <c r="D13" s="2" t="s">
        <v>1534</v>
      </c>
    </row>
    <row r="14" customFormat="false" ht="15" hidden="false" customHeight="false" outlineLevel="0" collapsed="false">
      <c r="A14" s="2" t="s">
        <v>1713</v>
      </c>
      <c r="B14" s="2" t="s">
        <v>1736</v>
      </c>
      <c r="C14" s="2" t="n">
        <v>1</v>
      </c>
      <c r="D14" s="2" t="s">
        <v>1534</v>
      </c>
    </row>
    <row r="15" customFormat="false" ht="15" hidden="false" customHeight="false" outlineLevel="0" collapsed="false">
      <c r="A15" s="2" t="s">
        <v>1713</v>
      </c>
      <c r="B15" s="2" t="s">
        <v>1737</v>
      </c>
      <c r="C15" s="2" t="n">
        <v>1</v>
      </c>
      <c r="D15" s="2" t="s">
        <v>1550</v>
      </c>
    </row>
    <row r="16" customFormat="false" ht="15" hidden="false" customHeight="false" outlineLevel="0" collapsed="false">
      <c r="A16" s="2" t="s">
        <v>1713</v>
      </c>
      <c r="B16" s="2" t="s">
        <v>1738</v>
      </c>
      <c r="C16" s="2" t="n">
        <v>1</v>
      </c>
      <c r="D16" s="2" t="s">
        <v>1546</v>
      </c>
    </row>
    <row r="17" customFormat="false" ht="23.85" hidden="false" customHeight="false" outlineLevel="0" collapsed="false">
      <c r="A17" s="2" t="s">
        <v>1739</v>
      </c>
      <c r="B17" s="2" t="s">
        <v>1740</v>
      </c>
      <c r="C17" s="2" t="n">
        <v>8</v>
      </c>
      <c r="D17" s="2" t="s">
        <v>1741</v>
      </c>
    </row>
    <row r="18" customFormat="false" ht="23.85" hidden="false" customHeight="false" outlineLevel="0" collapsed="false">
      <c r="A18" s="2" t="s">
        <v>1739</v>
      </c>
      <c r="B18" s="2" t="s">
        <v>1742</v>
      </c>
      <c r="C18" s="2" t="n">
        <v>6</v>
      </c>
      <c r="D18" s="2" t="s">
        <v>1743</v>
      </c>
    </row>
    <row r="19" customFormat="false" ht="15" hidden="false" customHeight="false" outlineLevel="0" collapsed="false">
      <c r="A19" s="2" t="s">
        <v>1739</v>
      </c>
      <c r="B19" s="2" t="s">
        <v>1744</v>
      </c>
      <c r="C19" s="2" t="n">
        <v>4</v>
      </c>
      <c r="D19" s="2" t="s">
        <v>1745</v>
      </c>
    </row>
    <row r="20" customFormat="false" ht="15" hidden="false" customHeight="false" outlineLevel="0" collapsed="false">
      <c r="A20" s="2" t="s">
        <v>1739</v>
      </c>
      <c r="B20" s="2" t="s">
        <v>1746</v>
      </c>
      <c r="C20" s="2" t="n">
        <v>4</v>
      </c>
      <c r="D20" s="2" t="s">
        <v>1747</v>
      </c>
    </row>
    <row r="21" customFormat="false" ht="23.85" hidden="false" customHeight="false" outlineLevel="0" collapsed="false">
      <c r="A21" s="2" t="s">
        <v>1739</v>
      </c>
      <c r="B21" s="2" t="s">
        <v>1748</v>
      </c>
      <c r="C21" s="2" t="n">
        <v>4</v>
      </c>
      <c r="D21" s="2" t="s">
        <v>1749</v>
      </c>
    </row>
    <row r="22" customFormat="false" ht="15" hidden="false" customHeight="false" outlineLevel="0" collapsed="false">
      <c r="A22" s="2" t="s">
        <v>1739</v>
      </c>
      <c r="B22" s="2" t="s">
        <v>1750</v>
      </c>
      <c r="C22" s="2" t="n">
        <v>3</v>
      </c>
      <c r="D22" s="2" t="s">
        <v>1751</v>
      </c>
    </row>
    <row r="23" customFormat="false" ht="15" hidden="false" customHeight="false" outlineLevel="0" collapsed="false">
      <c r="A23" s="2" t="s">
        <v>1739</v>
      </c>
      <c r="B23" s="2" t="s">
        <v>1752</v>
      </c>
      <c r="C23" s="2" t="n">
        <v>3</v>
      </c>
      <c r="D23" s="2" t="s">
        <v>1753</v>
      </c>
    </row>
    <row r="24" customFormat="false" ht="15" hidden="false" customHeight="false" outlineLevel="0" collapsed="false">
      <c r="A24" s="2" t="s">
        <v>1739</v>
      </c>
      <c r="B24" s="2" t="s">
        <v>1754</v>
      </c>
      <c r="C24" s="2" t="n">
        <v>1</v>
      </c>
      <c r="D24" s="2" t="s">
        <v>1447</v>
      </c>
    </row>
    <row r="25" customFormat="false" ht="15" hidden="false" customHeight="false" outlineLevel="0" collapsed="false">
      <c r="A25" s="2" t="s">
        <v>1739</v>
      </c>
      <c r="B25" s="2" t="s">
        <v>1755</v>
      </c>
      <c r="C25" s="2" t="n">
        <v>1</v>
      </c>
      <c r="D25" s="2" t="s">
        <v>1756</v>
      </c>
    </row>
    <row r="26" customFormat="false" ht="15" hidden="false" customHeight="false" outlineLevel="0" collapsed="false">
      <c r="A26" s="2" t="s">
        <v>1739</v>
      </c>
      <c r="B26" s="2" t="s">
        <v>1757</v>
      </c>
      <c r="C26" s="2" t="n">
        <v>1</v>
      </c>
      <c r="D26" s="2" t="s">
        <v>1758</v>
      </c>
    </row>
    <row r="27" customFormat="false" ht="15" hidden="false" customHeight="false" outlineLevel="0" collapsed="false">
      <c r="A27" s="2" t="s">
        <v>1739</v>
      </c>
      <c r="B27" s="2" t="s">
        <v>1759</v>
      </c>
      <c r="C27" s="2" t="n">
        <v>1</v>
      </c>
      <c r="D27" s="2" t="s">
        <v>1493</v>
      </c>
    </row>
    <row r="28" customFormat="false" ht="15" hidden="false" customHeight="false" outlineLevel="0" collapsed="false">
      <c r="A28" s="2" t="s">
        <v>1739</v>
      </c>
      <c r="B28" s="2" t="s">
        <v>1760</v>
      </c>
      <c r="C28" s="2" t="n">
        <v>1</v>
      </c>
      <c r="D28" s="2" t="s">
        <v>1407</v>
      </c>
    </row>
    <row r="29" customFormat="false" ht="15" hidden="false" customHeight="false" outlineLevel="0" collapsed="false">
      <c r="A29" s="2" t="s">
        <v>1739</v>
      </c>
      <c r="B29" s="2" t="s">
        <v>1761</v>
      </c>
      <c r="C29" s="2" t="n">
        <v>1</v>
      </c>
      <c r="D29" s="2" t="s">
        <v>1762</v>
      </c>
    </row>
    <row r="30" customFormat="false" ht="23.85" hidden="false" customHeight="false" outlineLevel="0" collapsed="false">
      <c r="A30" s="2" t="s">
        <v>1763</v>
      </c>
      <c r="B30" s="2" t="s">
        <v>1764</v>
      </c>
      <c r="C30" s="2" t="n">
        <v>9</v>
      </c>
      <c r="D30" s="2" t="s">
        <v>1765</v>
      </c>
    </row>
    <row r="31" customFormat="false" ht="35.05" hidden="false" customHeight="false" outlineLevel="0" collapsed="false">
      <c r="A31" s="2" t="s">
        <v>1766</v>
      </c>
      <c r="B31" s="2" t="s">
        <v>1767</v>
      </c>
      <c r="C31" s="2" t="n">
        <v>142</v>
      </c>
      <c r="D31" s="2" t="s">
        <v>1768</v>
      </c>
    </row>
    <row r="32" customFormat="false" ht="35.05" hidden="false" customHeight="false" outlineLevel="0" collapsed="false">
      <c r="A32" s="2" t="s">
        <v>1766</v>
      </c>
      <c r="B32" s="2" t="s">
        <v>1769</v>
      </c>
      <c r="C32" s="2" t="n">
        <v>121</v>
      </c>
      <c r="D32" s="2" t="s">
        <v>1770</v>
      </c>
    </row>
    <row r="33" customFormat="false" ht="23.85" hidden="false" customHeight="false" outlineLevel="0" collapsed="false">
      <c r="A33" s="2" t="s">
        <v>1766</v>
      </c>
      <c r="B33" s="2" t="s">
        <v>1771</v>
      </c>
      <c r="C33" s="2" t="n">
        <v>5</v>
      </c>
      <c r="D33" s="2" t="s">
        <v>1772</v>
      </c>
    </row>
    <row r="34" customFormat="false" ht="15" hidden="false" customHeight="false" outlineLevel="0" collapsed="false">
      <c r="A34" s="2" t="s">
        <v>1766</v>
      </c>
      <c r="B34" s="2" t="s">
        <v>1773</v>
      </c>
      <c r="C34" s="2" t="n">
        <v>2</v>
      </c>
      <c r="D34" s="2" t="s">
        <v>1774</v>
      </c>
    </row>
    <row r="35" customFormat="false" ht="15" hidden="false" customHeight="false" outlineLevel="0" collapsed="false">
      <c r="A35" s="2" t="s">
        <v>1775</v>
      </c>
      <c r="B35" s="2" t="s">
        <v>1617</v>
      </c>
      <c r="C35" s="2" t="n">
        <v>2</v>
      </c>
      <c r="D35" s="2" t="s">
        <v>1776</v>
      </c>
    </row>
    <row r="36" customFormat="false" ht="15" hidden="false" customHeight="false" outlineLevel="0" collapsed="false">
      <c r="A36" s="2" t="s">
        <v>1775</v>
      </c>
      <c r="B36" s="2" t="s">
        <v>1614</v>
      </c>
      <c r="C36" s="2" t="n">
        <v>2</v>
      </c>
      <c r="D36" s="2" t="s">
        <v>1776</v>
      </c>
    </row>
    <row r="37" customFormat="false" ht="15" hidden="false" customHeight="false" outlineLevel="0" collapsed="false">
      <c r="A37" s="2" t="s">
        <v>1775</v>
      </c>
      <c r="B37" s="2" t="s">
        <v>1623</v>
      </c>
      <c r="C37" s="2" t="n">
        <v>2</v>
      </c>
      <c r="D37" s="2" t="s">
        <v>1776</v>
      </c>
    </row>
    <row r="38" customFormat="false" ht="15" hidden="false" customHeight="false" outlineLevel="0" collapsed="false">
      <c r="A38" s="2" t="s">
        <v>1775</v>
      </c>
      <c r="B38" s="2" t="s">
        <v>1777</v>
      </c>
      <c r="C38" s="2" t="n">
        <v>2</v>
      </c>
      <c r="D38" s="2" t="s">
        <v>1484</v>
      </c>
    </row>
    <row r="39" customFormat="false" ht="15" hidden="false" customHeight="false" outlineLevel="0" collapsed="false">
      <c r="A39" s="2" t="s">
        <v>1775</v>
      </c>
      <c r="B39" s="2" t="s">
        <v>1567</v>
      </c>
      <c r="C39" s="2" t="n">
        <v>1</v>
      </c>
      <c r="D39" s="2" t="s">
        <v>1347</v>
      </c>
    </row>
    <row r="40" customFormat="false" ht="15" hidden="false" customHeight="false" outlineLevel="0" collapsed="false">
      <c r="A40" s="2" t="s">
        <v>1775</v>
      </c>
      <c r="B40" s="2" t="s">
        <v>1778</v>
      </c>
      <c r="C40" s="2" t="n">
        <v>1</v>
      </c>
      <c r="D40" s="2" t="s">
        <v>1779</v>
      </c>
    </row>
    <row r="41" customFormat="false" ht="15" hidden="false" customHeight="false" outlineLevel="0" collapsed="false">
      <c r="A41" s="2" t="s">
        <v>1775</v>
      </c>
      <c r="B41" s="2" t="s">
        <v>1780</v>
      </c>
      <c r="C41" s="2" t="n">
        <v>1</v>
      </c>
      <c r="D41" s="2" t="s">
        <v>1779</v>
      </c>
    </row>
    <row r="42" customFormat="false" ht="15" hidden="false" customHeight="false" outlineLevel="0" collapsed="false">
      <c r="A42" s="2" t="s">
        <v>1775</v>
      </c>
      <c r="B42" s="2" t="s">
        <v>1781</v>
      </c>
      <c r="C42" s="2" t="n">
        <v>1</v>
      </c>
      <c r="D42" s="2" t="s">
        <v>1779</v>
      </c>
    </row>
    <row r="43" customFormat="false" ht="15" hidden="false" customHeight="false" outlineLevel="0" collapsed="false">
      <c r="A43" s="2" t="s">
        <v>1775</v>
      </c>
      <c r="B43" s="2" t="s">
        <v>1782</v>
      </c>
      <c r="C43" s="2" t="n">
        <v>1</v>
      </c>
      <c r="D43" s="2" t="s">
        <v>1779</v>
      </c>
    </row>
    <row r="44" customFormat="false" ht="15" hidden="false" customHeight="false" outlineLevel="0" collapsed="false">
      <c r="A44" s="2" t="s">
        <v>1775</v>
      </c>
      <c r="B44" s="2" t="s">
        <v>1783</v>
      </c>
      <c r="C44" s="2" t="n">
        <v>1</v>
      </c>
      <c r="D44" s="2" t="s">
        <v>1779</v>
      </c>
    </row>
    <row r="45" customFormat="false" ht="15" hidden="false" customHeight="false" outlineLevel="0" collapsed="false">
      <c r="A45" s="2" t="s">
        <v>1775</v>
      </c>
      <c r="B45" s="2" t="s">
        <v>1784</v>
      </c>
      <c r="C45" s="2" t="n">
        <v>1</v>
      </c>
      <c r="D45" s="2" t="s">
        <v>1779</v>
      </c>
    </row>
    <row r="46" customFormat="false" ht="15" hidden="false" customHeight="false" outlineLevel="0" collapsed="false">
      <c r="A46" s="2" t="s">
        <v>1775</v>
      </c>
      <c r="B46" s="2" t="s">
        <v>1785</v>
      </c>
      <c r="C46" s="2" t="n">
        <v>1</v>
      </c>
      <c r="D46" s="2" t="s">
        <v>1779</v>
      </c>
    </row>
    <row r="47" customFormat="false" ht="15" hidden="false" customHeight="false" outlineLevel="0" collapsed="false">
      <c r="A47" s="2" t="s">
        <v>1775</v>
      </c>
      <c r="B47" s="2" t="s">
        <v>1786</v>
      </c>
      <c r="C47" s="2" t="n">
        <v>1</v>
      </c>
      <c r="D47" s="2" t="s">
        <v>1779</v>
      </c>
    </row>
    <row r="48" customFormat="false" ht="15" hidden="false" customHeight="false" outlineLevel="0" collapsed="false">
      <c r="A48" s="2" t="s">
        <v>1775</v>
      </c>
      <c r="B48" s="2" t="s">
        <v>1787</v>
      </c>
      <c r="C48" s="2" t="n">
        <v>1</v>
      </c>
      <c r="D48" s="2" t="s">
        <v>1779</v>
      </c>
    </row>
    <row r="49" customFormat="false" ht="15" hidden="false" customHeight="false" outlineLevel="0" collapsed="false">
      <c r="A49" s="2" t="s">
        <v>1775</v>
      </c>
      <c r="B49" s="2" t="s">
        <v>1619</v>
      </c>
      <c r="C49" s="2" t="n">
        <v>1</v>
      </c>
      <c r="D49" s="2" t="s">
        <v>1788</v>
      </c>
    </row>
    <row r="50" customFormat="false" ht="15" hidden="false" customHeight="false" outlineLevel="0" collapsed="false">
      <c r="A50" s="2" t="s">
        <v>1775</v>
      </c>
      <c r="B50" s="2" t="s">
        <v>1621</v>
      </c>
      <c r="C50" s="2" t="n">
        <v>1</v>
      </c>
      <c r="D50" s="2" t="s">
        <v>1788</v>
      </c>
    </row>
    <row r="51" customFormat="false" ht="15" hidden="false" customHeight="false" outlineLevel="0" collapsed="false">
      <c r="A51" s="2" t="s">
        <v>1775</v>
      </c>
      <c r="B51" s="2" t="s">
        <v>1625</v>
      </c>
      <c r="C51" s="2" t="n">
        <v>1</v>
      </c>
      <c r="D51" s="2" t="s">
        <v>1788</v>
      </c>
    </row>
    <row r="52" customFormat="false" ht="35.05" hidden="false" customHeight="false" outlineLevel="0" collapsed="false">
      <c r="A52" s="2" t="s">
        <v>1630</v>
      </c>
      <c r="B52" s="2" t="s">
        <v>1651</v>
      </c>
      <c r="C52" s="2" t="n">
        <v>79</v>
      </c>
      <c r="D52" s="2" t="s">
        <v>1789</v>
      </c>
    </row>
    <row r="53" customFormat="false" ht="35.05" hidden="false" customHeight="false" outlineLevel="0" collapsed="false">
      <c r="A53" s="2" t="s">
        <v>1630</v>
      </c>
      <c r="B53" s="2" t="s">
        <v>1790</v>
      </c>
      <c r="C53" s="2" t="n">
        <v>35</v>
      </c>
      <c r="D53" s="2" t="s">
        <v>1791</v>
      </c>
    </row>
    <row r="54" customFormat="false" ht="46.25" hidden="false" customHeight="false" outlineLevel="0" collapsed="false">
      <c r="A54" s="2" t="s">
        <v>1630</v>
      </c>
      <c r="B54" s="2" t="s">
        <v>1792</v>
      </c>
      <c r="C54" s="2" t="n">
        <v>26</v>
      </c>
      <c r="D54" s="2" t="s">
        <v>1793</v>
      </c>
    </row>
    <row r="55" customFormat="false" ht="46.25" hidden="false" customHeight="false" outlineLevel="0" collapsed="false">
      <c r="A55" s="2" t="s">
        <v>1630</v>
      </c>
      <c r="B55" s="2" t="s">
        <v>1794</v>
      </c>
      <c r="C55" s="2" t="n">
        <v>22</v>
      </c>
      <c r="D55" s="2" t="s">
        <v>1795</v>
      </c>
    </row>
    <row r="56" customFormat="false" ht="46.25" hidden="false" customHeight="false" outlineLevel="0" collapsed="false">
      <c r="A56" s="2" t="s">
        <v>1630</v>
      </c>
      <c r="B56" s="2" t="s">
        <v>1796</v>
      </c>
      <c r="C56" s="2" t="n">
        <v>15</v>
      </c>
      <c r="D56" s="2" t="s">
        <v>1797</v>
      </c>
    </row>
    <row r="57" customFormat="false" ht="35.05" hidden="false" customHeight="false" outlineLevel="0" collapsed="false">
      <c r="A57" s="2" t="s">
        <v>1630</v>
      </c>
      <c r="B57" s="2" t="s">
        <v>1798</v>
      </c>
      <c r="C57" s="2" t="n">
        <v>10</v>
      </c>
      <c r="D57" s="2" t="s">
        <v>1799</v>
      </c>
    </row>
    <row r="58" customFormat="false" ht="15" hidden="false" customHeight="false" outlineLevel="0" collapsed="false">
      <c r="A58" s="2" t="s">
        <v>1630</v>
      </c>
      <c r="B58" s="2" t="s">
        <v>1800</v>
      </c>
      <c r="C58" s="2" t="n">
        <v>3</v>
      </c>
      <c r="D58" s="2" t="s">
        <v>1801</v>
      </c>
    </row>
    <row r="59" customFormat="false" ht="15" hidden="false" customHeight="false" outlineLevel="0" collapsed="false">
      <c r="A59" s="2" t="s">
        <v>1630</v>
      </c>
      <c r="B59" s="2" t="s">
        <v>1802</v>
      </c>
      <c r="C59" s="2" t="n">
        <v>1</v>
      </c>
      <c r="D59" s="2" t="s">
        <v>1803</v>
      </c>
    </row>
    <row r="60" customFormat="false" ht="35.05" hidden="false" customHeight="false" outlineLevel="0" collapsed="false">
      <c r="A60" s="2" t="s">
        <v>1804</v>
      </c>
      <c r="B60" s="2" t="s">
        <v>1805</v>
      </c>
      <c r="C60" s="2" t="n">
        <v>48</v>
      </c>
      <c r="D60" s="2" t="s">
        <v>1806</v>
      </c>
    </row>
    <row r="61" customFormat="false" ht="35.05" hidden="false" customHeight="false" outlineLevel="0" collapsed="false">
      <c r="A61" s="2" t="s">
        <v>1804</v>
      </c>
      <c r="B61" s="2" t="s">
        <v>1807</v>
      </c>
      <c r="C61" s="2" t="n">
        <v>38</v>
      </c>
      <c r="D61" s="2" t="s">
        <v>1808</v>
      </c>
    </row>
    <row r="62" customFormat="false" ht="35.05" hidden="false" customHeight="false" outlineLevel="0" collapsed="false">
      <c r="A62" s="2" t="s">
        <v>1804</v>
      </c>
      <c r="B62" s="2" t="s">
        <v>1809</v>
      </c>
      <c r="C62" s="2" t="n">
        <v>34</v>
      </c>
      <c r="D62" s="2" t="s">
        <v>1810</v>
      </c>
    </row>
    <row r="63" customFormat="false" ht="35.05" hidden="false" customHeight="false" outlineLevel="0" collapsed="false">
      <c r="A63" s="2" t="s">
        <v>1804</v>
      </c>
      <c r="B63" s="2" t="s">
        <v>1811</v>
      </c>
      <c r="C63" s="2" t="n">
        <v>31</v>
      </c>
      <c r="D63" s="2" t="s">
        <v>1812</v>
      </c>
    </row>
    <row r="64" customFormat="false" ht="35.05" hidden="false" customHeight="false" outlineLevel="0" collapsed="false">
      <c r="A64" s="2" t="s">
        <v>1804</v>
      </c>
      <c r="B64" s="2" t="s">
        <v>1813</v>
      </c>
      <c r="C64" s="2" t="n">
        <v>27</v>
      </c>
      <c r="D64" s="2" t="s">
        <v>1814</v>
      </c>
    </row>
    <row r="65" customFormat="false" ht="46.25" hidden="false" customHeight="false" outlineLevel="0" collapsed="false">
      <c r="A65" s="2" t="s">
        <v>1804</v>
      </c>
      <c r="B65" s="2" t="s">
        <v>1815</v>
      </c>
      <c r="C65" s="2" t="n">
        <v>21</v>
      </c>
      <c r="D65" s="2" t="s">
        <v>1816</v>
      </c>
    </row>
    <row r="66" customFormat="false" ht="35.05" hidden="false" customHeight="false" outlineLevel="0" collapsed="false">
      <c r="A66" s="2" t="s">
        <v>1804</v>
      </c>
      <c r="B66" s="2" t="s">
        <v>1817</v>
      </c>
      <c r="C66" s="2" t="n">
        <v>16</v>
      </c>
      <c r="D66" s="2" t="s">
        <v>1818</v>
      </c>
    </row>
    <row r="67" customFormat="false" ht="46.25" hidden="false" customHeight="false" outlineLevel="0" collapsed="false">
      <c r="A67" s="2" t="s">
        <v>1804</v>
      </c>
      <c r="B67" s="2" t="s">
        <v>1819</v>
      </c>
      <c r="C67" s="2" t="n">
        <v>16</v>
      </c>
      <c r="D67" s="2" t="s">
        <v>1820</v>
      </c>
    </row>
    <row r="68" customFormat="false" ht="35.05" hidden="false" customHeight="false" outlineLevel="0" collapsed="false">
      <c r="A68" s="2" t="s">
        <v>1804</v>
      </c>
      <c r="B68" s="2" t="s">
        <v>1821</v>
      </c>
      <c r="C68" s="2" t="n">
        <v>14</v>
      </c>
      <c r="D68" s="2" t="s">
        <v>1822</v>
      </c>
    </row>
    <row r="69" customFormat="false" ht="23.85" hidden="false" customHeight="false" outlineLevel="0" collapsed="false">
      <c r="A69" s="2" t="s">
        <v>1804</v>
      </c>
      <c r="B69" s="2" t="s">
        <v>1823</v>
      </c>
      <c r="C69" s="2" t="n">
        <v>10</v>
      </c>
      <c r="D69" s="2" t="s">
        <v>1824</v>
      </c>
    </row>
    <row r="70" customFormat="false" ht="23.85" hidden="false" customHeight="false" outlineLevel="0" collapsed="false">
      <c r="A70" s="2" t="s">
        <v>1804</v>
      </c>
      <c r="B70" s="2" t="s">
        <v>1825</v>
      </c>
      <c r="C70" s="2" t="n">
        <v>9</v>
      </c>
      <c r="D70" s="2" t="s">
        <v>1826</v>
      </c>
    </row>
    <row r="71" customFormat="false" ht="23.85" hidden="false" customHeight="false" outlineLevel="0" collapsed="false">
      <c r="A71" s="2" t="s">
        <v>1804</v>
      </c>
      <c r="B71" s="2" t="s">
        <v>1827</v>
      </c>
      <c r="C71" s="2" t="n">
        <v>8</v>
      </c>
      <c r="D71" s="2" t="s">
        <v>1828</v>
      </c>
    </row>
    <row r="72" customFormat="false" ht="23.85" hidden="false" customHeight="false" outlineLevel="0" collapsed="false">
      <c r="A72" s="2" t="s">
        <v>1804</v>
      </c>
      <c r="B72" s="2" t="s">
        <v>1829</v>
      </c>
      <c r="C72" s="2" t="n">
        <v>7</v>
      </c>
      <c r="D72" s="2" t="s">
        <v>1830</v>
      </c>
    </row>
    <row r="73" customFormat="false" ht="15" hidden="false" customHeight="false" outlineLevel="0" collapsed="false">
      <c r="A73" s="2" t="s">
        <v>1804</v>
      </c>
      <c r="B73" s="2" t="s">
        <v>1831</v>
      </c>
      <c r="C73" s="2" t="n">
        <v>6</v>
      </c>
      <c r="D73" s="2" t="s">
        <v>1832</v>
      </c>
    </row>
    <row r="74" customFormat="false" ht="23.85" hidden="false" customHeight="false" outlineLevel="0" collapsed="false">
      <c r="A74" s="2" t="s">
        <v>1804</v>
      </c>
      <c r="B74" s="2" t="s">
        <v>1833</v>
      </c>
      <c r="C74" s="2" t="n">
        <v>5</v>
      </c>
      <c r="D74" s="2" t="s">
        <v>1834</v>
      </c>
    </row>
    <row r="75" customFormat="false" ht="15" hidden="false" customHeight="false" outlineLevel="0" collapsed="false">
      <c r="A75" s="2" t="s">
        <v>1804</v>
      </c>
      <c r="B75" s="2" t="s">
        <v>1835</v>
      </c>
      <c r="C75" s="2" t="n">
        <v>4</v>
      </c>
      <c r="D75" s="2" t="s">
        <v>1836</v>
      </c>
    </row>
    <row r="76" customFormat="false" ht="15" hidden="false" customHeight="false" outlineLevel="0" collapsed="false">
      <c r="A76" s="2" t="s">
        <v>1804</v>
      </c>
      <c r="B76" s="2" t="s">
        <v>1837</v>
      </c>
      <c r="C76" s="2" t="n">
        <v>4</v>
      </c>
      <c r="D76" s="2" t="s">
        <v>1838</v>
      </c>
    </row>
    <row r="77" customFormat="false" ht="15" hidden="false" customHeight="false" outlineLevel="0" collapsed="false">
      <c r="A77" s="2" t="s">
        <v>1804</v>
      </c>
      <c r="B77" s="2" t="s">
        <v>1839</v>
      </c>
      <c r="C77" s="2" t="n">
        <v>4</v>
      </c>
      <c r="D77" s="2" t="s">
        <v>1840</v>
      </c>
    </row>
    <row r="78" customFormat="false" ht="15" hidden="false" customHeight="false" outlineLevel="0" collapsed="false">
      <c r="A78" s="2" t="s">
        <v>1804</v>
      </c>
      <c r="B78" s="2" t="s">
        <v>1841</v>
      </c>
      <c r="C78" s="2" t="n">
        <v>4</v>
      </c>
      <c r="D78" s="2" t="s">
        <v>1842</v>
      </c>
    </row>
    <row r="79" customFormat="false" ht="23.85" hidden="false" customHeight="false" outlineLevel="0" collapsed="false">
      <c r="A79" s="2" t="s">
        <v>1804</v>
      </c>
      <c r="B79" s="2" t="s">
        <v>1843</v>
      </c>
      <c r="C79" s="2" t="n">
        <v>4</v>
      </c>
      <c r="D79" s="2" t="s">
        <v>1844</v>
      </c>
    </row>
    <row r="80" customFormat="false" ht="15" hidden="false" customHeight="false" outlineLevel="0" collapsed="false">
      <c r="A80" s="2" t="s">
        <v>1804</v>
      </c>
      <c r="B80" s="2" t="s">
        <v>1845</v>
      </c>
      <c r="C80" s="2" t="n">
        <v>3</v>
      </c>
      <c r="D80" s="2" t="s">
        <v>1846</v>
      </c>
    </row>
    <row r="81" customFormat="false" ht="15" hidden="false" customHeight="false" outlineLevel="0" collapsed="false">
      <c r="A81" s="2" t="s">
        <v>1804</v>
      </c>
      <c r="B81" s="2" t="s">
        <v>1847</v>
      </c>
      <c r="C81" s="2" t="n">
        <v>3</v>
      </c>
      <c r="D81" s="2" t="s">
        <v>1848</v>
      </c>
    </row>
    <row r="82" customFormat="false" ht="15" hidden="false" customHeight="false" outlineLevel="0" collapsed="false">
      <c r="A82" s="2" t="s">
        <v>1804</v>
      </c>
      <c r="B82" s="2" t="s">
        <v>1849</v>
      </c>
      <c r="C82" s="2" t="n">
        <v>3</v>
      </c>
      <c r="D82" s="2" t="s">
        <v>1850</v>
      </c>
    </row>
    <row r="83" customFormat="false" ht="15" hidden="false" customHeight="false" outlineLevel="0" collapsed="false">
      <c r="A83" s="2" t="s">
        <v>1804</v>
      </c>
      <c r="B83" s="2" t="s">
        <v>1851</v>
      </c>
      <c r="C83" s="2" t="n">
        <v>2</v>
      </c>
      <c r="D83" s="2" t="s">
        <v>1852</v>
      </c>
    </row>
    <row r="84" customFormat="false" ht="15" hidden="false" customHeight="false" outlineLevel="0" collapsed="false">
      <c r="A84" s="2" t="s">
        <v>1804</v>
      </c>
      <c r="B84" s="2" t="s">
        <v>1853</v>
      </c>
      <c r="C84" s="2" t="n">
        <v>2</v>
      </c>
      <c r="D84" s="2" t="s">
        <v>1854</v>
      </c>
    </row>
    <row r="85" customFormat="false" ht="15" hidden="false" customHeight="false" outlineLevel="0" collapsed="false">
      <c r="A85" s="2" t="s">
        <v>1804</v>
      </c>
      <c r="B85" s="2" t="s">
        <v>1855</v>
      </c>
      <c r="C85" s="2" t="n">
        <v>2</v>
      </c>
      <c r="D85" s="2" t="s">
        <v>1854</v>
      </c>
    </row>
    <row r="86" customFormat="false" ht="15" hidden="false" customHeight="false" outlineLevel="0" collapsed="false">
      <c r="A86" s="2" t="s">
        <v>1804</v>
      </c>
      <c r="B86" s="2" t="s">
        <v>1856</v>
      </c>
      <c r="C86" s="2" t="n">
        <v>2</v>
      </c>
      <c r="D86" s="2" t="s">
        <v>1854</v>
      </c>
    </row>
    <row r="87" customFormat="false" ht="15" hidden="false" customHeight="false" outlineLevel="0" collapsed="false">
      <c r="A87" s="2" t="s">
        <v>1804</v>
      </c>
      <c r="B87" s="2" t="s">
        <v>1857</v>
      </c>
      <c r="C87" s="2" t="n">
        <v>2</v>
      </c>
      <c r="D87" s="2" t="s">
        <v>1379</v>
      </c>
    </row>
    <row r="88" customFormat="false" ht="15" hidden="false" customHeight="false" outlineLevel="0" collapsed="false">
      <c r="A88" s="2" t="s">
        <v>1804</v>
      </c>
      <c r="B88" s="2" t="s">
        <v>1858</v>
      </c>
      <c r="C88" s="2" t="n">
        <v>2</v>
      </c>
      <c r="D88" s="2" t="s">
        <v>1379</v>
      </c>
    </row>
    <row r="89" customFormat="false" ht="15" hidden="false" customHeight="false" outlineLevel="0" collapsed="false">
      <c r="A89" s="2" t="s">
        <v>1804</v>
      </c>
      <c r="B89" s="2" t="s">
        <v>1859</v>
      </c>
      <c r="C89" s="2" t="n">
        <v>1</v>
      </c>
      <c r="D89" s="2" t="s">
        <v>1860</v>
      </c>
    </row>
    <row r="90" customFormat="false" ht="15" hidden="false" customHeight="false" outlineLevel="0" collapsed="false">
      <c r="A90" s="2" t="s">
        <v>1804</v>
      </c>
      <c r="B90" s="2" t="s">
        <v>1861</v>
      </c>
      <c r="C90" s="2" t="n">
        <v>1</v>
      </c>
      <c r="D90" s="2" t="s">
        <v>1484</v>
      </c>
    </row>
    <row r="91" customFormat="false" ht="15" hidden="false" customHeight="false" outlineLevel="0" collapsed="false">
      <c r="A91" s="2" t="s">
        <v>1804</v>
      </c>
      <c r="B91" s="2" t="s">
        <v>1862</v>
      </c>
      <c r="C91" s="2" t="n">
        <v>1</v>
      </c>
      <c r="D91" s="2" t="s">
        <v>1863</v>
      </c>
    </row>
    <row r="92" customFormat="false" ht="15" hidden="false" customHeight="false" outlineLevel="0" collapsed="false">
      <c r="A92" s="2" t="s">
        <v>1804</v>
      </c>
      <c r="B92" s="2" t="s">
        <v>1864</v>
      </c>
      <c r="C92" s="2" t="n">
        <v>1</v>
      </c>
      <c r="D92" s="2" t="s">
        <v>1379</v>
      </c>
    </row>
    <row r="93" customFormat="false" ht="15" hidden="false" customHeight="false" outlineLevel="0" collapsed="false">
      <c r="A93" s="2" t="s">
        <v>1804</v>
      </c>
      <c r="B93" s="2" t="s">
        <v>1865</v>
      </c>
      <c r="C93" s="2" t="n">
        <v>1</v>
      </c>
      <c r="D93" s="2" t="s">
        <v>1379</v>
      </c>
    </row>
    <row r="94" customFormat="false" ht="15" hidden="false" customHeight="false" outlineLevel="0" collapsed="false">
      <c r="A94" s="2" t="s">
        <v>1804</v>
      </c>
      <c r="B94" s="2" t="s">
        <v>1866</v>
      </c>
      <c r="C94" s="2" t="n">
        <v>1</v>
      </c>
      <c r="D94" s="2" t="s">
        <v>1379</v>
      </c>
    </row>
    <row r="95" customFormat="false" ht="15" hidden="false" customHeight="false" outlineLevel="0" collapsed="false">
      <c r="A95" s="2" t="s">
        <v>1804</v>
      </c>
      <c r="B95" s="2" t="s">
        <v>1867</v>
      </c>
      <c r="C95" s="2" t="n">
        <v>1</v>
      </c>
      <c r="D95" s="2" t="s">
        <v>1379</v>
      </c>
    </row>
    <row r="96" customFormat="false" ht="15" hidden="false" customHeight="false" outlineLevel="0" collapsed="false">
      <c r="A96" s="2" t="s">
        <v>1804</v>
      </c>
      <c r="B96" s="2" t="s">
        <v>1868</v>
      </c>
      <c r="C96" s="2" t="n">
        <v>1</v>
      </c>
      <c r="D96" s="2" t="s">
        <v>1542</v>
      </c>
    </row>
    <row r="97" customFormat="false" ht="15" hidden="false" customHeight="false" outlineLevel="0" collapsed="false">
      <c r="A97" s="2" t="s">
        <v>1804</v>
      </c>
      <c r="B97" s="2" t="s">
        <v>1869</v>
      </c>
      <c r="C97" s="2" t="n">
        <v>1</v>
      </c>
      <c r="D97" s="2" t="s">
        <v>1332</v>
      </c>
    </row>
    <row r="98" customFormat="false" ht="15" hidden="false" customHeight="false" outlineLevel="0" collapsed="false">
      <c r="A98" s="2" t="s">
        <v>1804</v>
      </c>
      <c r="B98" s="2" t="s">
        <v>1870</v>
      </c>
      <c r="C98" s="2" t="n">
        <v>1</v>
      </c>
      <c r="D98" s="2" t="s">
        <v>1332</v>
      </c>
    </row>
    <row r="99" customFormat="false" ht="15" hidden="false" customHeight="false" outlineLevel="0" collapsed="false">
      <c r="A99" s="2" t="s">
        <v>1804</v>
      </c>
      <c r="B99" s="2" t="s">
        <v>1871</v>
      </c>
      <c r="C99" s="2" t="n">
        <v>1</v>
      </c>
      <c r="D99" s="2" t="s">
        <v>1872</v>
      </c>
    </row>
    <row r="100" customFormat="false" ht="15" hidden="false" customHeight="false" outlineLevel="0" collapsed="false">
      <c r="A100" s="2" t="s">
        <v>1804</v>
      </c>
      <c r="B100" s="2" t="s">
        <v>1873</v>
      </c>
      <c r="C100" s="2" t="n">
        <v>1</v>
      </c>
      <c r="D100" s="2" t="s">
        <v>1872</v>
      </c>
    </row>
    <row r="101" customFormat="false" ht="15" hidden="false" customHeight="false" outlineLevel="0" collapsed="false">
      <c r="A101" s="2" t="s">
        <v>1804</v>
      </c>
      <c r="B101" s="2" t="s">
        <v>1874</v>
      </c>
      <c r="C101" s="2" t="n">
        <v>1</v>
      </c>
      <c r="D101" s="2" t="s">
        <v>1256</v>
      </c>
    </row>
    <row r="102" customFormat="false" ht="15" hidden="false" customHeight="false" outlineLevel="0" collapsed="false">
      <c r="A102" s="2" t="s">
        <v>1804</v>
      </c>
      <c r="B102" s="2" t="s">
        <v>1875</v>
      </c>
      <c r="C102" s="2" t="n">
        <v>1</v>
      </c>
      <c r="D102" s="2" t="s">
        <v>1876</v>
      </c>
    </row>
    <row r="103" customFormat="false" ht="15" hidden="false" customHeight="false" outlineLevel="0" collapsed="false">
      <c r="A103" s="2" t="s">
        <v>1804</v>
      </c>
      <c r="B103" s="2" t="s">
        <v>1877</v>
      </c>
      <c r="C103" s="2" t="n">
        <v>1</v>
      </c>
      <c r="D103" s="2" t="s">
        <v>1876</v>
      </c>
    </row>
    <row r="104" customFormat="false" ht="15" hidden="false" customHeight="false" outlineLevel="0" collapsed="false">
      <c r="A104" s="2" t="s">
        <v>1804</v>
      </c>
      <c r="B104" s="2" t="s">
        <v>1878</v>
      </c>
      <c r="C104" s="2" t="n">
        <v>1</v>
      </c>
      <c r="D104" s="2" t="s">
        <v>1879</v>
      </c>
    </row>
    <row r="105" customFormat="false" ht="15" hidden="false" customHeight="false" outlineLevel="0" collapsed="false">
      <c r="A105" s="2" t="s">
        <v>1804</v>
      </c>
      <c r="B105" s="2" t="s">
        <v>1503</v>
      </c>
      <c r="C105" s="2" t="n">
        <v>1</v>
      </c>
      <c r="D105" s="2" t="s">
        <v>1502</v>
      </c>
    </row>
    <row r="106" customFormat="false" ht="35.05" hidden="false" customHeight="false" outlineLevel="0" collapsed="false">
      <c r="A106" s="2" t="s">
        <v>1880</v>
      </c>
      <c r="B106" s="2" t="s">
        <v>1881</v>
      </c>
      <c r="C106" s="2" t="n">
        <v>54</v>
      </c>
      <c r="D106" s="2" t="s">
        <v>1882</v>
      </c>
    </row>
    <row r="107" customFormat="false" ht="35.05" hidden="false" customHeight="false" outlineLevel="0" collapsed="false">
      <c r="A107" s="2" t="s">
        <v>1880</v>
      </c>
      <c r="B107" s="2" t="s">
        <v>1883</v>
      </c>
      <c r="C107" s="2" t="n">
        <v>38</v>
      </c>
      <c r="D107" s="2" t="s">
        <v>1884</v>
      </c>
    </row>
    <row r="108" customFormat="false" ht="35.05" hidden="false" customHeight="false" outlineLevel="0" collapsed="false">
      <c r="A108" s="2" t="s">
        <v>1880</v>
      </c>
      <c r="B108" s="2" t="s">
        <v>1885</v>
      </c>
      <c r="C108" s="2" t="n">
        <v>12</v>
      </c>
      <c r="D108" s="2" t="s">
        <v>1886</v>
      </c>
    </row>
    <row r="109" customFormat="false" ht="15" hidden="false" customHeight="false" outlineLevel="0" collapsed="false">
      <c r="A109" s="2" t="s">
        <v>1880</v>
      </c>
      <c r="B109" s="2" t="s">
        <v>1887</v>
      </c>
      <c r="C109" s="2" t="n">
        <v>1</v>
      </c>
      <c r="D109" s="2" t="s">
        <v>1447</v>
      </c>
    </row>
    <row r="110" customFormat="false" ht="23.85" hidden="false" customHeight="false" outlineLevel="0" collapsed="false">
      <c r="A110" s="2" t="s">
        <v>1888</v>
      </c>
      <c r="B110" s="2" t="s">
        <v>1889</v>
      </c>
      <c r="C110" s="2" t="n">
        <v>8</v>
      </c>
      <c r="D110" s="2" t="s">
        <v>1890</v>
      </c>
    </row>
    <row r="111" customFormat="false" ht="15" hidden="false" customHeight="false" outlineLevel="0" collapsed="false">
      <c r="A111" s="2" t="s">
        <v>1888</v>
      </c>
      <c r="B111" s="2" t="s">
        <v>1891</v>
      </c>
      <c r="C111" s="2" t="n">
        <v>4</v>
      </c>
      <c r="D111" s="2" t="s">
        <v>1892</v>
      </c>
    </row>
    <row r="112" customFormat="false" ht="15" hidden="false" customHeight="false" outlineLevel="0" collapsed="false">
      <c r="A112" s="2" t="s">
        <v>1888</v>
      </c>
      <c r="B112" s="2" t="s">
        <v>1893</v>
      </c>
      <c r="C112" s="2" t="n">
        <v>1</v>
      </c>
      <c r="D112" s="2" t="s">
        <v>1894</v>
      </c>
    </row>
    <row r="113" customFormat="false" ht="15" hidden="false" customHeight="false" outlineLevel="0" collapsed="false">
      <c r="A113" s="2" t="s">
        <v>1888</v>
      </c>
      <c r="B113" s="2" t="s">
        <v>1895</v>
      </c>
      <c r="C113" s="2" t="n">
        <v>1</v>
      </c>
      <c r="D113" s="2" t="s">
        <v>1530</v>
      </c>
    </row>
    <row r="114" customFormat="false" ht="23.85" hidden="false" customHeight="false" outlineLevel="0" collapsed="false">
      <c r="A114" s="2" t="s">
        <v>1896</v>
      </c>
      <c r="B114" s="2" t="s">
        <v>1897</v>
      </c>
      <c r="C114" s="2" t="n">
        <v>12</v>
      </c>
      <c r="D114" s="2" t="s">
        <v>1898</v>
      </c>
    </row>
    <row r="115" customFormat="false" ht="46.25" hidden="false" customHeight="false" outlineLevel="0" collapsed="false">
      <c r="A115" s="2" t="s">
        <v>1655</v>
      </c>
      <c r="B115" s="2" t="s">
        <v>1899</v>
      </c>
      <c r="C115" s="2" t="n">
        <v>12</v>
      </c>
      <c r="D115" s="2" t="s">
        <v>1900</v>
      </c>
    </row>
    <row r="116" customFormat="false" ht="15" hidden="false" customHeight="false" outlineLevel="0" collapsed="false">
      <c r="A116" s="2" t="s">
        <v>1655</v>
      </c>
      <c r="B116" s="2" t="s">
        <v>1655</v>
      </c>
      <c r="C116" s="2" t="n">
        <v>10</v>
      </c>
      <c r="D116" s="2" t="s">
        <v>1901</v>
      </c>
    </row>
    <row r="117" customFormat="false" ht="15" hidden="false" customHeight="false" outlineLevel="0" collapsed="false">
      <c r="A117" s="2" t="s">
        <v>1655</v>
      </c>
      <c r="B117" s="2" t="s">
        <v>1902</v>
      </c>
      <c r="C117" s="2" t="n">
        <v>4</v>
      </c>
      <c r="D117" s="2" t="s">
        <v>1903</v>
      </c>
    </row>
    <row r="118" customFormat="false" ht="15" hidden="false" customHeight="false" outlineLevel="0" collapsed="false">
      <c r="A118" s="2" t="s">
        <v>1655</v>
      </c>
      <c r="B118" s="2" t="s">
        <v>1904</v>
      </c>
      <c r="C118" s="2" t="n">
        <v>3</v>
      </c>
      <c r="D118" s="2" t="s">
        <v>1905</v>
      </c>
    </row>
    <row r="119" customFormat="false" ht="15" hidden="false" customHeight="false" outlineLevel="0" collapsed="false">
      <c r="A119" s="2" t="s">
        <v>1655</v>
      </c>
      <c r="B119" s="2" t="s">
        <v>1906</v>
      </c>
      <c r="C119" s="2" t="n">
        <v>2</v>
      </c>
      <c r="D119" s="2" t="s">
        <v>1461</v>
      </c>
    </row>
    <row r="120" customFormat="false" ht="15" hidden="false" customHeight="false" outlineLevel="0" collapsed="false">
      <c r="A120" s="2" t="s">
        <v>1655</v>
      </c>
      <c r="B120" s="2" t="s">
        <v>1907</v>
      </c>
      <c r="C120" s="2" t="n">
        <v>2</v>
      </c>
      <c r="D120" s="2" t="s">
        <v>1908</v>
      </c>
    </row>
    <row r="121" customFormat="false" ht="15" hidden="false" customHeight="false" outlineLevel="0" collapsed="false">
      <c r="A121" s="2" t="s">
        <v>1655</v>
      </c>
      <c r="B121" s="2" t="s">
        <v>1909</v>
      </c>
      <c r="C121" s="2" t="n">
        <v>1</v>
      </c>
      <c r="D121" s="2" t="s">
        <v>1538</v>
      </c>
    </row>
    <row r="122" customFormat="false" ht="15" hidden="false" customHeight="false" outlineLevel="0" collapsed="false">
      <c r="A122" s="2" t="s">
        <v>1655</v>
      </c>
      <c r="B122" s="2" t="s">
        <v>1910</v>
      </c>
      <c r="C122" s="2" t="n">
        <v>1</v>
      </c>
      <c r="D122" s="2" t="s">
        <v>1452</v>
      </c>
    </row>
    <row r="123" customFormat="false" ht="15" hidden="false" customHeight="false" outlineLevel="0" collapsed="false">
      <c r="A123" s="2" t="s">
        <v>1655</v>
      </c>
      <c r="B123" s="2" t="s">
        <v>1911</v>
      </c>
      <c r="C123" s="2" t="n">
        <v>1</v>
      </c>
      <c r="D123" s="2" t="s">
        <v>1530</v>
      </c>
    </row>
    <row r="124" customFormat="false" ht="35.05" hidden="false" customHeight="false" outlineLevel="0" collapsed="false">
      <c r="A124" s="2" t="s">
        <v>1912</v>
      </c>
      <c r="B124" s="2" t="s">
        <v>1913</v>
      </c>
      <c r="C124" s="2" t="n">
        <v>109</v>
      </c>
      <c r="D124" s="2" t="s">
        <v>1914</v>
      </c>
    </row>
    <row r="125" customFormat="false" ht="35.05" hidden="false" customHeight="false" outlineLevel="0" collapsed="false">
      <c r="A125" s="2" t="s">
        <v>1912</v>
      </c>
      <c r="B125" s="2" t="s">
        <v>1915</v>
      </c>
      <c r="C125" s="2" t="n">
        <v>65</v>
      </c>
      <c r="D125" s="2" t="s">
        <v>1916</v>
      </c>
    </row>
    <row r="126" customFormat="false" ht="35.05" hidden="false" customHeight="false" outlineLevel="0" collapsed="false">
      <c r="A126" s="2" t="s">
        <v>1912</v>
      </c>
      <c r="B126" s="2" t="s">
        <v>1917</v>
      </c>
      <c r="C126" s="2" t="n">
        <v>64</v>
      </c>
      <c r="D126" s="2" t="s">
        <v>1918</v>
      </c>
    </row>
    <row r="127" customFormat="false" ht="35.05" hidden="false" customHeight="false" outlineLevel="0" collapsed="false">
      <c r="A127" s="2" t="s">
        <v>1912</v>
      </c>
      <c r="B127" s="2" t="s">
        <v>1919</v>
      </c>
      <c r="C127" s="2" t="n">
        <v>51</v>
      </c>
      <c r="D127" s="2" t="s">
        <v>1920</v>
      </c>
    </row>
    <row r="128" customFormat="false" ht="35.05" hidden="false" customHeight="false" outlineLevel="0" collapsed="false">
      <c r="A128" s="2" t="s">
        <v>1912</v>
      </c>
      <c r="B128" s="2" t="s">
        <v>1921</v>
      </c>
      <c r="C128" s="2" t="n">
        <v>48</v>
      </c>
      <c r="D128" s="2" t="s">
        <v>1922</v>
      </c>
    </row>
    <row r="129" customFormat="false" ht="35.05" hidden="false" customHeight="false" outlineLevel="0" collapsed="false">
      <c r="A129" s="2" t="s">
        <v>1912</v>
      </c>
      <c r="B129" s="2" t="s">
        <v>1923</v>
      </c>
      <c r="C129" s="2" t="n">
        <v>40</v>
      </c>
      <c r="D129" s="2" t="s">
        <v>1924</v>
      </c>
    </row>
    <row r="130" customFormat="false" ht="46.25" hidden="false" customHeight="false" outlineLevel="0" collapsed="false">
      <c r="A130" s="2" t="s">
        <v>1912</v>
      </c>
      <c r="B130" s="2" t="s">
        <v>1925</v>
      </c>
      <c r="C130" s="2" t="n">
        <v>38</v>
      </c>
      <c r="D130" s="2" t="s">
        <v>1926</v>
      </c>
    </row>
    <row r="131" customFormat="false" ht="35.05" hidden="false" customHeight="false" outlineLevel="0" collapsed="false">
      <c r="A131" s="2" t="s">
        <v>1912</v>
      </c>
      <c r="B131" s="2" t="s">
        <v>1927</v>
      </c>
      <c r="C131" s="2" t="n">
        <v>34</v>
      </c>
      <c r="D131" s="2" t="s">
        <v>1928</v>
      </c>
    </row>
    <row r="132" customFormat="false" ht="35.05" hidden="false" customHeight="false" outlineLevel="0" collapsed="false">
      <c r="A132" s="2" t="s">
        <v>1912</v>
      </c>
      <c r="B132" s="2" t="s">
        <v>1929</v>
      </c>
      <c r="C132" s="2" t="n">
        <v>34</v>
      </c>
      <c r="D132" s="2" t="s">
        <v>1930</v>
      </c>
    </row>
    <row r="133" customFormat="false" ht="35.05" hidden="false" customHeight="false" outlineLevel="0" collapsed="false">
      <c r="A133" s="2" t="s">
        <v>1912</v>
      </c>
      <c r="B133" s="2" t="s">
        <v>1931</v>
      </c>
      <c r="C133" s="2" t="n">
        <v>34</v>
      </c>
      <c r="D133" s="2" t="s">
        <v>1932</v>
      </c>
    </row>
    <row r="134" customFormat="false" ht="35.05" hidden="false" customHeight="false" outlineLevel="0" collapsed="false">
      <c r="A134" s="2" t="s">
        <v>1912</v>
      </c>
      <c r="B134" s="2" t="s">
        <v>1933</v>
      </c>
      <c r="C134" s="2" t="n">
        <v>31</v>
      </c>
      <c r="D134" s="2" t="s">
        <v>1934</v>
      </c>
    </row>
    <row r="135" customFormat="false" ht="35.05" hidden="false" customHeight="false" outlineLevel="0" collapsed="false">
      <c r="A135" s="2" t="s">
        <v>1912</v>
      </c>
      <c r="B135" s="2" t="s">
        <v>1935</v>
      </c>
      <c r="C135" s="2" t="n">
        <v>29</v>
      </c>
      <c r="D135" s="2" t="s">
        <v>1936</v>
      </c>
    </row>
    <row r="136" customFormat="false" ht="35.05" hidden="false" customHeight="false" outlineLevel="0" collapsed="false">
      <c r="A136" s="2" t="s">
        <v>1912</v>
      </c>
      <c r="B136" s="2" t="s">
        <v>1937</v>
      </c>
      <c r="C136" s="2" t="n">
        <v>19</v>
      </c>
      <c r="D136" s="2" t="s">
        <v>1938</v>
      </c>
    </row>
    <row r="137" customFormat="false" ht="35.05" hidden="false" customHeight="false" outlineLevel="0" collapsed="false">
      <c r="A137" s="2" t="s">
        <v>1912</v>
      </c>
      <c r="B137" s="2" t="s">
        <v>1939</v>
      </c>
      <c r="C137" s="2" t="n">
        <v>18</v>
      </c>
      <c r="D137" s="2" t="s">
        <v>1940</v>
      </c>
    </row>
    <row r="138" customFormat="false" ht="46.25" hidden="false" customHeight="false" outlineLevel="0" collapsed="false">
      <c r="A138" s="2" t="s">
        <v>1912</v>
      </c>
      <c r="B138" s="2" t="s">
        <v>1941</v>
      </c>
      <c r="C138" s="2" t="n">
        <v>18</v>
      </c>
      <c r="D138" s="2" t="s">
        <v>1942</v>
      </c>
    </row>
    <row r="139" customFormat="false" ht="46.25" hidden="false" customHeight="false" outlineLevel="0" collapsed="false">
      <c r="A139" s="2" t="s">
        <v>1912</v>
      </c>
      <c r="B139" s="2" t="s">
        <v>1943</v>
      </c>
      <c r="C139" s="2" t="n">
        <v>17</v>
      </c>
      <c r="D139" s="2" t="s">
        <v>1944</v>
      </c>
    </row>
    <row r="140" customFormat="false" ht="46.25" hidden="false" customHeight="false" outlineLevel="0" collapsed="false">
      <c r="A140" s="2" t="s">
        <v>1912</v>
      </c>
      <c r="B140" s="2" t="s">
        <v>1945</v>
      </c>
      <c r="C140" s="2" t="n">
        <v>16</v>
      </c>
      <c r="D140" s="2" t="s">
        <v>1946</v>
      </c>
    </row>
    <row r="141" customFormat="false" ht="46.25" hidden="false" customHeight="false" outlineLevel="0" collapsed="false">
      <c r="A141" s="2" t="s">
        <v>1912</v>
      </c>
      <c r="B141" s="2" t="s">
        <v>1947</v>
      </c>
      <c r="C141" s="2" t="n">
        <v>16</v>
      </c>
      <c r="D141" s="2" t="s">
        <v>1948</v>
      </c>
    </row>
    <row r="142" customFormat="false" ht="35.05" hidden="false" customHeight="false" outlineLevel="0" collapsed="false">
      <c r="A142" s="2" t="s">
        <v>1912</v>
      </c>
      <c r="B142" s="2" t="s">
        <v>1949</v>
      </c>
      <c r="C142" s="2" t="n">
        <v>14</v>
      </c>
      <c r="D142" s="2" t="s">
        <v>1950</v>
      </c>
    </row>
    <row r="143" customFormat="false" ht="35.05" hidden="false" customHeight="false" outlineLevel="0" collapsed="false">
      <c r="A143" s="2" t="s">
        <v>1912</v>
      </c>
      <c r="B143" s="2" t="s">
        <v>1951</v>
      </c>
      <c r="C143" s="2" t="n">
        <v>13</v>
      </c>
      <c r="D143" s="2" t="s">
        <v>1952</v>
      </c>
    </row>
    <row r="144" customFormat="false" ht="35.05" hidden="false" customHeight="false" outlineLevel="0" collapsed="false">
      <c r="A144" s="2" t="s">
        <v>1912</v>
      </c>
      <c r="B144" s="2" t="s">
        <v>1953</v>
      </c>
      <c r="C144" s="2" t="n">
        <v>13</v>
      </c>
      <c r="D144" s="2" t="s">
        <v>1954</v>
      </c>
    </row>
    <row r="145" customFormat="false" ht="23.85" hidden="false" customHeight="false" outlineLevel="0" collapsed="false">
      <c r="A145" s="2" t="s">
        <v>1912</v>
      </c>
      <c r="B145" s="2" t="s">
        <v>1955</v>
      </c>
      <c r="C145" s="2" t="n">
        <v>12</v>
      </c>
      <c r="D145" s="2" t="s">
        <v>1956</v>
      </c>
    </row>
    <row r="146" customFormat="false" ht="23.85" hidden="false" customHeight="false" outlineLevel="0" collapsed="false">
      <c r="A146" s="2" t="s">
        <v>1912</v>
      </c>
      <c r="B146" s="2" t="s">
        <v>1957</v>
      </c>
      <c r="C146" s="2" t="n">
        <v>12</v>
      </c>
      <c r="D146" s="2" t="s">
        <v>1958</v>
      </c>
    </row>
    <row r="147" customFormat="false" ht="35.05" hidden="false" customHeight="false" outlineLevel="0" collapsed="false">
      <c r="A147" s="2" t="s">
        <v>1912</v>
      </c>
      <c r="B147" s="2" t="s">
        <v>1959</v>
      </c>
      <c r="C147" s="2" t="n">
        <v>11</v>
      </c>
      <c r="D147" s="2" t="s">
        <v>1960</v>
      </c>
    </row>
    <row r="148" customFormat="false" ht="35.05" hidden="false" customHeight="false" outlineLevel="0" collapsed="false">
      <c r="A148" s="2" t="s">
        <v>1912</v>
      </c>
      <c r="B148" s="2" t="s">
        <v>1961</v>
      </c>
      <c r="C148" s="2" t="n">
        <v>11</v>
      </c>
      <c r="D148" s="2" t="s">
        <v>1962</v>
      </c>
    </row>
    <row r="149" customFormat="false" ht="23.85" hidden="false" customHeight="false" outlineLevel="0" collapsed="false">
      <c r="A149" s="2" t="s">
        <v>1912</v>
      </c>
      <c r="B149" s="2" t="s">
        <v>1963</v>
      </c>
      <c r="C149" s="2" t="n">
        <v>10</v>
      </c>
      <c r="D149" s="2" t="s">
        <v>1964</v>
      </c>
    </row>
    <row r="150" customFormat="false" ht="35.05" hidden="false" customHeight="false" outlineLevel="0" collapsed="false">
      <c r="A150" s="2" t="s">
        <v>1912</v>
      </c>
      <c r="B150" s="2" t="s">
        <v>1965</v>
      </c>
      <c r="C150" s="2" t="n">
        <v>10</v>
      </c>
      <c r="D150" s="2" t="s">
        <v>1966</v>
      </c>
    </row>
    <row r="151" customFormat="false" ht="35.05" hidden="false" customHeight="false" outlineLevel="0" collapsed="false">
      <c r="A151" s="2" t="s">
        <v>1912</v>
      </c>
      <c r="B151" s="2" t="s">
        <v>1967</v>
      </c>
      <c r="C151" s="2" t="n">
        <v>8</v>
      </c>
      <c r="D151" s="2" t="s">
        <v>1968</v>
      </c>
    </row>
    <row r="152" customFormat="false" ht="23.85" hidden="false" customHeight="false" outlineLevel="0" collapsed="false">
      <c r="A152" s="2" t="s">
        <v>1912</v>
      </c>
      <c r="B152" s="2" t="s">
        <v>1969</v>
      </c>
      <c r="C152" s="2" t="n">
        <v>8</v>
      </c>
      <c r="D152" s="2" t="s">
        <v>1970</v>
      </c>
    </row>
    <row r="153" customFormat="false" ht="23.85" hidden="false" customHeight="false" outlineLevel="0" collapsed="false">
      <c r="A153" s="2" t="s">
        <v>1912</v>
      </c>
      <c r="B153" s="2" t="s">
        <v>1971</v>
      </c>
      <c r="C153" s="2" t="n">
        <v>8</v>
      </c>
      <c r="D153" s="2" t="s">
        <v>1972</v>
      </c>
    </row>
    <row r="154" customFormat="false" ht="23.85" hidden="false" customHeight="false" outlineLevel="0" collapsed="false">
      <c r="A154" s="2" t="s">
        <v>1912</v>
      </c>
      <c r="B154" s="2" t="s">
        <v>1973</v>
      </c>
      <c r="C154" s="2" t="n">
        <v>8</v>
      </c>
      <c r="D154" s="2" t="s">
        <v>1974</v>
      </c>
    </row>
    <row r="155" customFormat="false" ht="23.85" hidden="false" customHeight="false" outlineLevel="0" collapsed="false">
      <c r="A155" s="2" t="s">
        <v>1912</v>
      </c>
      <c r="B155" s="2" t="s">
        <v>1975</v>
      </c>
      <c r="C155" s="2" t="n">
        <v>8</v>
      </c>
      <c r="D155" s="2" t="s">
        <v>1976</v>
      </c>
    </row>
    <row r="156" customFormat="false" ht="23.85" hidden="false" customHeight="false" outlineLevel="0" collapsed="false">
      <c r="A156" s="2" t="s">
        <v>1912</v>
      </c>
      <c r="B156" s="2" t="s">
        <v>1977</v>
      </c>
      <c r="C156" s="2" t="n">
        <v>8</v>
      </c>
      <c r="D156" s="2" t="s">
        <v>1978</v>
      </c>
    </row>
    <row r="157" customFormat="false" ht="23.85" hidden="false" customHeight="false" outlineLevel="0" collapsed="false">
      <c r="A157" s="2" t="s">
        <v>1912</v>
      </c>
      <c r="B157" s="2" t="s">
        <v>1979</v>
      </c>
      <c r="C157" s="2" t="n">
        <v>7</v>
      </c>
      <c r="D157" s="2" t="s">
        <v>1980</v>
      </c>
    </row>
    <row r="158" customFormat="false" ht="15" hidden="false" customHeight="false" outlineLevel="0" collapsed="false">
      <c r="A158" s="2" t="s">
        <v>1912</v>
      </c>
      <c r="B158" s="2" t="s">
        <v>1981</v>
      </c>
      <c r="C158" s="2" t="n">
        <v>7</v>
      </c>
      <c r="D158" s="2" t="s">
        <v>1982</v>
      </c>
    </row>
    <row r="159" customFormat="false" ht="23.85" hidden="false" customHeight="false" outlineLevel="0" collapsed="false">
      <c r="A159" s="2" t="s">
        <v>1912</v>
      </c>
      <c r="B159" s="2" t="s">
        <v>1983</v>
      </c>
      <c r="C159" s="2" t="n">
        <v>6</v>
      </c>
      <c r="D159" s="2" t="s">
        <v>1984</v>
      </c>
    </row>
    <row r="160" customFormat="false" ht="23.85" hidden="false" customHeight="false" outlineLevel="0" collapsed="false">
      <c r="A160" s="2" t="s">
        <v>1912</v>
      </c>
      <c r="B160" s="2" t="s">
        <v>1985</v>
      </c>
      <c r="C160" s="2" t="n">
        <v>6</v>
      </c>
      <c r="D160" s="2" t="s">
        <v>1986</v>
      </c>
    </row>
    <row r="161" customFormat="false" ht="23.85" hidden="false" customHeight="false" outlineLevel="0" collapsed="false">
      <c r="A161" s="2" t="s">
        <v>1912</v>
      </c>
      <c r="B161" s="2" t="s">
        <v>1987</v>
      </c>
      <c r="C161" s="2" t="n">
        <v>6</v>
      </c>
      <c r="D161" s="2" t="s">
        <v>1988</v>
      </c>
    </row>
    <row r="162" customFormat="false" ht="23.85" hidden="false" customHeight="false" outlineLevel="0" collapsed="false">
      <c r="A162" s="2" t="s">
        <v>1912</v>
      </c>
      <c r="B162" s="2" t="s">
        <v>1989</v>
      </c>
      <c r="C162" s="2" t="n">
        <v>6</v>
      </c>
      <c r="D162" s="2" t="s">
        <v>1990</v>
      </c>
    </row>
    <row r="163" customFormat="false" ht="23.85" hidden="false" customHeight="false" outlineLevel="0" collapsed="false">
      <c r="A163" s="2" t="s">
        <v>1912</v>
      </c>
      <c r="B163" s="2" t="s">
        <v>1991</v>
      </c>
      <c r="C163" s="2" t="n">
        <v>6</v>
      </c>
      <c r="D163" s="2" t="s">
        <v>1992</v>
      </c>
    </row>
    <row r="164" customFormat="false" ht="15" hidden="false" customHeight="false" outlineLevel="0" collapsed="false">
      <c r="A164" s="2" t="s">
        <v>1912</v>
      </c>
      <c r="B164" s="2" t="s">
        <v>1993</v>
      </c>
      <c r="C164" s="2" t="n">
        <v>5</v>
      </c>
      <c r="D164" s="2" t="s">
        <v>1994</v>
      </c>
    </row>
    <row r="165" customFormat="false" ht="23.85" hidden="false" customHeight="false" outlineLevel="0" collapsed="false">
      <c r="A165" s="2" t="s">
        <v>1912</v>
      </c>
      <c r="B165" s="2" t="s">
        <v>1995</v>
      </c>
      <c r="C165" s="2" t="n">
        <v>5</v>
      </c>
      <c r="D165" s="2" t="s">
        <v>1996</v>
      </c>
    </row>
    <row r="166" customFormat="false" ht="23.85" hidden="false" customHeight="false" outlineLevel="0" collapsed="false">
      <c r="A166" s="2" t="s">
        <v>1912</v>
      </c>
      <c r="B166" s="2" t="s">
        <v>1997</v>
      </c>
      <c r="C166" s="2" t="n">
        <v>5</v>
      </c>
      <c r="D166" s="2" t="s">
        <v>1998</v>
      </c>
    </row>
    <row r="167" customFormat="false" ht="15" hidden="false" customHeight="false" outlineLevel="0" collapsed="false">
      <c r="A167" s="2" t="s">
        <v>1912</v>
      </c>
      <c r="B167" s="2" t="s">
        <v>1999</v>
      </c>
      <c r="C167" s="2" t="n">
        <v>4</v>
      </c>
      <c r="D167" s="2" t="s">
        <v>2000</v>
      </c>
    </row>
    <row r="168" customFormat="false" ht="23.85" hidden="false" customHeight="false" outlineLevel="0" collapsed="false">
      <c r="A168" s="2" t="s">
        <v>1912</v>
      </c>
      <c r="B168" s="2" t="s">
        <v>2001</v>
      </c>
      <c r="C168" s="2" t="n">
        <v>4</v>
      </c>
      <c r="D168" s="2" t="s">
        <v>2002</v>
      </c>
    </row>
    <row r="169" customFormat="false" ht="23.85" hidden="false" customHeight="false" outlineLevel="0" collapsed="false">
      <c r="A169" s="2" t="s">
        <v>1912</v>
      </c>
      <c r="B169" s="2" t="s">
        <v>2003</v>
      </c>
      <c r="C169" s="2" t="n">
        <v>4</v>
      </c>
      <c r="D169" s="2" t="s">
        <v>2004</v>
      </c>
    </row>
    <row r="170" customFormat="false" ht="23.85" hidden="false" customHeight="false" outlineLevel="0" collapsed="false">
      <c r="A170" s="2" t="s">
        <v>1912</v>
      </c>
      <c r="B170" s="2" t="s">
        <v>2005</v>
      </c>
      <c r="C170" s="2" t="n">
        <v>4</v>
      </c>
      <c r="D170" s="2" t="s">
        <v>2006</v>
      </c>
    </row>
    <row r="171" customFormat="false" ht="15" hidden="false" customHeight="false" outlineLevel="0" collapsed="false">
      <c r="A171" s="2" t="s">
        <v>1912</v>
      </c>
      <c r="B171" s="2" t="s">
        <v>2007</v>
      </c>
      <c r="C171" s="2" t="n">
        <v>3</v>
      </c>
      <c r="D171" s="2" t="s">
        <v>2008</v>
      </c>
    </row>
    <row r="172" customFormat="false" ht="15" hidden="false" customHeight="false" outlineLevel="0" collapsed="false">
      <c r="A172" s="2" t="s">
        <v>1912</v>
      </c>
      <c r="B172" s="2" t="s">
        <v>2009</v>
      </c>
      <c r="C172" s="2" t="n">
        <v>3</v>
      </c>
      <c r="D172" s="2" t="s">
        <v>2010</v>
      </c>
    </row>
    <row r="173" customFormat="false" ht="15" hidden="false" customHeight="false" outlineLevel="0" collapsed="false">
      <c r="A173" s="2" t="s">
        <v>1912</v>
      </c>
      <c r="B173" s="2" t="s">
        <v>2011</v>
      </c>
      <c r="C173" s="2" t="n">
        <v>3</v>
      </c>
      <c r="D173" s="2" t="s">
        <v>2012</v>
      </c>
    </row>
    <row r="174" customFormat="false" ht="15" hidden="false" customHeight="false" outlineLevel="0" collapsed="false">
      <c r="A174" s="2" t="s">
        <v>1912</v>
      </c>
      <c r="B174" s="2" t="s">
        <v>2013</v>
      </c>
      <c r="C174" s="2" t="n">
        <v>3</v>
      </c>
      <c r="D174" s="2" t="s">
        <v>2014</v>
      </c>
    </row>
    <row r="175" customFormat="false" ht="15" hidden="false" customHeight="false" outlineLevel="0" collapsed="false">
      <c r="A175" s="2" t="s">
        <v>1912</v>
      </c>
      <c r="B175" s="2" t="s">
        <v>2015</v>
      </c>
      <c r="C175" s="2" t="n">
        <v>3</v>
      </c>
      <c r="D175" s="2" t="s">
        <v>1905</v>
      </c>
    </row>
    <row r="176" customFormat="false" ht="15" hidden="false" customHeight="false" outlineLevel="0" collapsed="false">
      <c r="A176" s="2" t="s">
        <v>1912</v>
      </c>
      <c r="B176" s="2" t="s">
        <v>2016</v>
      </c>
      <c r="C176" s="2" t="n">
        <v>2</v>
      </c>
      <c r="D176" s="2" t="s">
        <v>2017</v>
      </c>
    </row>
    <row r="177" customFormat="false" ht="15" hidden="false" customHeight="false" outlineLevel="0" collapsed="false">
      <c r="A177" s="2" t="s">
        <v>1912</v>
      </c>
      <c r="B177" s="2" t="s">
        <v>2018</v>
      </c>
      <c r="C177" s="2" t="n">
        <v>2</v>
      </c>
      <c r="D177" s="2" t="s">
        <v>2019</v>
      </c>
    </row>
    <row r="178" customFormat="false" ht="15" hidden="false" customHeight="false" outlineLevel="0" collapsed="false">
      <c r="A178" s="2" t="s">
        <v>1912</v>
      </c>
      <c r="B178" s="2" t="s">
        <v>2020</v>
      </c>
      <c r="C178" s="2" t="n">
        <v>2</v>
      </c>
      <c r="D178" s="2" t="s">
        <v>2021</v>
      </c>
    </row>
    <row r="179" customFormat="false" ht="15" hidden="false" customHeight="false" outlineLevel="0" collapsed="false">
      <c r="A179" s="2" t="s">
        <v>1912</v>
      </c>
      <c r="B179" s="2" t="s">
        <v>2022</v>
      </c>
      <c r="C179" s="2" t="n">
        <v>2</v>
      </c>
      <c r="D179" s="2" t="s">
        <v>2023</v>
      </c>
    </row>
    <row r="180" customFormat="false" ht="15" hidden="false" customHeight="false" outlineLevel="0" collapsed="false">
      <c r="A180" s="2" t="s">
        <v>1912</v>
      </c>
      <c r="B180" s="2" t="s">
        <v>2024</v>
      </c>
      <c r="C180" s="2" t="n">
        <v>2</v>
      </c>
      <c r="D180" s="2" t="s">
        <v>1493</v>
      </c>
    </row>
    <row r="181" customFormat="false" ht="15" hidden="false" customHeight="false" outlineLevel="0" collapsed="false">
      <c r="A181" s="2" t="s">
        <v>1912</v>
      </c>
      <c r="B181" s="2" t="s">
        <v>2025</v>
      </c>
      <c r="C181" s="2" t="n">
        <v>2</v>
      </c>
      <c r="D181" s="2" t="s">
        <v>2026</v>
      </c>
    </row>
    <row r="182" customFormat="false" ht="15" hidden="false" customHeight="false" outlineLevel="0" collapsed="false">
      <c r="A182" s="2" t="s">
        <v>1912</v>
      </c>
      <c r="B182" s="2" t="s">
        <v>2027</v>
      </c>
      <c r="C182" s="2" t="n">
        <v>2</v>
      </c>
      <c r="D182" s="2" t="s">
        <v>2028</v>
      </c>
    </row>
    <row r="183" customFormat="false" ht="15" hidden="false" customHeight="false" outlineLevel="0" collapsed="false">
      <c r="A183" s="2" t="s">
        <v>1912</v>
      </c>
      <c r="B183" s="2" t="s">
        <v>2029</v>
      </c>
      <c r="C183" s="2" t="n">
        <v>2</v>
      </c>
      <c r="D183" s="2" t="s">
        <v>1725</v>
      </c>
    </row>
    <row r="184" customFormat="false" ht="15" hidden="false" customHeight="false" outlineLevel="0" collapsed="false">
      <c r="A184" s="2" t="s">
        <v>1912</v>
      </c>
      <c r="B184" s="2" t="s">
        <v>2030</v>
      </c>
      <c r="C184" s="2" t="n">
        <v>2</v>
      </c>
      <c r="D184" s="2" t="s">
        <v>2031</v>
      </c>
    </row>
    <row r="185" customFormat="false" ht="23.85" hidden="false" customHeight="false" outlineLevel="0" collapsed="false">
      <c r="A185" s="2" t="s">
        <v>1912</v>
      </c>
      <c r="B185" s="2" t="s">
        <v>2032</v>
      </c>
      <c r="C185" s="2" t="n">
        <v>2</v>
      </c>
      <c r="D185" s="2" t="s">
        <v>1731</v>
      </c>
    </row>
    <row r="186" customFormat="false" ht="15" hidden="false" customHeight="false" outlineLevel="0" collapsed="false">
      <c r="A186" s="2" t="s">
        <v>1912</v>
      </c>
      <c r="B186" s="2" t="s">
        <v>2033</v>
      </c>
      <c r="C186" s="2" t="n">
        <v>2</v>
      </c>
      <c r="D186" s="2" t="s">
        <v>2034</v>
      </c>
    </row>
    <row r="187" customFormat="false" ht="15" hidden="false" customHeight="false" outlineLevel="0" collapsed="false">
      <c r="A187" s="2" t="s">
        <v>1912</v>
      </c>
      <c r="B187" s="2" t="s">
        <v>2035</v>
      </c>
      <c r="C187" s="2" t="n">
        <v>2</v>
      </c>
      <c r="D187" s="2" t="s">
        <v>1908</v>
      </c>
    </row>
    <row r="188" customFormat="false" ht="15" hidden="false" customHeight="false" outlineLevel="0" collapsed="false">
      <c r="A188" s="2" t="s">
        <v>1912</v>
      </c>
      <c r="B188" s="2" t="s">
        <v>2036</v>
      </c>
      <c r="C188" s="2" t="n">
        <v>2</v>
      </c>
      <c r="D188" s="2" t="s">
        <v>2037</v>
      </c>
    </row>
    <row r="189" customFormat="false" ht="15" hidden="false" customHeight="false" outlineLevel="0" collapsed="false">
      <c r="A189" s="2" t="s">
        <v>1912</v>
      </c>
      <c r="B189" s="2" t="s">
        <v>2038</v>
      </c>
      <c r="C189" s="2" t="n">
        <v>2</v>
      </c>
      <c r="D189" s="2" t="s">
        <v>1475</v>
      </c>
    </row>
    <row r="190" customFormat="false" ht="15" hidden="false" customHeight="false" outlineLevel="0" collapsed="false">
      <c r="A190" s="2" t="s">
        <v>1912</v>
      </c>
      <c r="B190" s="2" t="s">
        <v>2039</v>
      </c>
      <c r="C190" s="2" t="n">
        <v>1</v>
      </c>
      <c r="D190" s="2" t="s">
        <v>2040</v>
      </c>
    </row>
    <row r="191" customFormat="false" ht="15" hidden="false" customHeight="false" outlineLevel="0" collapsed="false">
      <c r="A191" s="2" t="s">
        <v>1912</v>
      </c>
      <c r="B191" s="2" t="s">
        <v>2041</v>
      </c>
      <c r="C191" s="2" t="n">
        <v>1</v>
      </c>
      <c r="D191" s="2" t="s">
        <v>2040</v>
      </c>
    </row>
    <row r="192" customFormat="false" ht="15" hidden="false" customHeight="false" outlineLevel="0" collapsed="false">
      <c r="A192" s="2" t="s">
        <v>1912</v>
      </c>
      <c r="B192" s="2" t="s">
        <v>2042</v>
      </c>
      <c r="C192" s="2" t="n">
        <v>1</v>
      </c>
      <c r="D192" s="2" t="s">
        <v>1756</v>
      </c>
    </row>
    <row r="193" customFormat="false" ht="15" hidden="false" customHeight="false" outlineLevel="0" collapsed="false">
      <c r="A193" s="2" t="s">
        <v>1912</v>
      </c>
      <c r="B193" s="2" t="s">
        <v>2043</v>
      </c>
      <c r="C193" s="2" t="n">
        <v>1</v>
      </c>
      <c r="D193" s="2" t="s">
        <v>1756</v>
      </c>
    </row>
    <row r="194" customFormat="false" ht="15" hidden="false" customHeight="false" outlineLevel="0" collapsed="false">
      <c r="A194" s="2" t="s">
        <v>1912</v>
      </c>
      <c r="B194" s="2" t="s">
        <v>2044</v>
      </c>
      <c r="C194" s="2" t="n">
        <v>1</v>
      </c>
      <c r="D194" s="2" t="s">
        <v>1756</v>
      </c>
    </row>
    <row r="195" customFormat="false" ht="15" hidden="false" customHeight="false" outlineLevel="0" collapsed="false">
      <c r="A195" s="2" t="s">
        <v>1912</v>
      </c>
      <c r="B195" s="2" t="s">
        <v>2045</v>
      </c>
      <c r="C195" s="2" t="n">
        <v>1</v>
      </c>
      <c r="D195" s="2" t="s">
        <v>1756</v>
      </c>
    </row>
    <row r="196" customFormat="false" ht="15" hidden="false" customHeight="false" outlineLevel="0" collapsed="false">
      <c r="A196" s="2" t="s">
        <v>1912</v>
      </c>
      <c r="B196" s="2" t="s">
        <v>2046</v>
      </c>
      <c r="C196" s="2" t="n">
        <v>1</v>
      </c>
      <c r="D196" s="2" t="s">
        <v>2047</v>
      </c>
    </row>
    <row r="197" customFormat="false" ht="15" hidden="false" customHeight="false" outlineLevel="0" collapsed="false">
      <c r="A197" s="2" t="s">
        <v>1912</v>
      </c>
      <c r="B197" s="2" t="s">
        <v>2048</v>
      </c>
      <c r="C197" s="2" t="n">
        <v>1</v>
      </c>
      <c r="D197" s="2" t="s">
        <v>1515</v>
      </c>
    </row>
    <row r="198" customFormat="false" ht="15" hidden="false" customHeight="false" outlineLevel="0" collapsed="false">
      <c r="A198" s="2" t="s">
        <v>1912</v>
      </c>
      <c r="B198" s="2" t="s">
        <v>2049</v>
      </c>
      <c r="C198" s="2" t="n">
        <v>1</v>
      </c>
      <c r="D198" s="2" t="s">
        <v>2050</v>
      </c>
    </row>
    <row r="199" customFormat="false" ht="15" hidden="false" customHeight="false" outlineLevel="0" collapsed="false">
      <c r="A199" s="2" t="s">
        <v>1912</v>
      </c>
      <c r="B199" s="2" t="s">
        <v>2051</v>
      </c>
      <c r="C199" s="2" t="n">
        <v>1</v>
      </c>
      <c r="D199" s="2" t="s">
        <v>2050</v>
      </c>
    </row>
    <row r="200" customFormat="false" ht="15" hidden="false" customHeight="false" outlineLevel="0" collapsed="false">
      <c r="A200" s="2" t="s">
        <v>1912</v>
      </c>
      <c r="B200" s="2" t="s">
        <v>2052</v>
      </c>
      <c r="C200" s="2" t="n">
        <v>1</v>
      </c>
      <c r="D200" s="2" t="s">
        <v>1525</v>
      </c>
    </row>
    <row r="201" customFormat="false" ht="15" hidden="false" customHeight="false" outlineLevel="0" collapsed="false">
      <c r="A201" s="2" t="s">
        <v>1912</v>
      </c>
      <c r="B201" s="2" t="s">
        <v>2053</v>
      </c>
      <c r="C201" s="2" t="n">
        <v>1</v>
      </c>
      <c r="D201" s="2" t="s">
        <v>2054</v>
      </c>
    </row>
    <row r="202" customFormat="false" ht="15" hidden="false" customHeight="false" outlineLevel="0" collapsed="false">
      <c r="A202" s="2" t="s">
        <v>1912</v>
      </c>
      <c r="B202" s="2" t="s">
        <v>2055</v>
      </c>
      <c r="C202" s="2" t="n">
        <v>1</v>
      </c>
      <c r="D202" s="2" t="s">
        <v>2056</v>
      </c>
    </row>
    <row r="203" customFormat="false" ht="15" hidden="false" customHeight="false" outlineLevel="0" collapsed="false">
      <c r="A203" s="2" t="s">
        <v>1912</v>
      </c>
      <c r="B203" s="2" t="s">
        <v>2057</v>
      </c>
      <c r="C203" s="2" t="n">
        <v>1</v>
      </c>
      <c r="D203" s="2" t="s">
        <v>1379</v>
      </c>
    </row>
    <row r="204" customFormat="false" ht="15" hidden="false" customHeight="false" outlineLevel="0" collapsed="false">
      <c r="A204" s="2" t="s">
        <v>1912</v>
      </c>
      <c r="B204" s="2" t="s">
        <v>2058</v>
      </c>
      <c r="C204" s="2" t="n">
        <v>1</v>
      </c>
      <c r="D204" s="2" t="s">
        <v>1379</v>
      </c>
    </row>
    <row r="205" customFormat="false" ht="15" hidden="false" customHeight="false" outlineLevel="0" collapsed="false">
      <c r="A205" s="2" t="s">
        <v>1912</v>
      </c>
      <c r="B205" s="2" t="s">
        <v>2059</v>
      </c>
      <c r="C205" s="2" t="n">
        <v>1</v>
      </c>
      <c r="D205" s="2" t="s">
        <v>1461</v>
      </c>
    </row>
    <row r="206" customFormat="false" ht="15" hidden="false" customHeight="false" outlineLevel="0" collapsed="false">
      <c r="A206" s="2" t="s">
        <v>1912</v>
      </c>
      <c r="B206" s="2" t="s">
        <v>2060</v>
      </c>
      <c r="C206" s="2" t="n">
        <v>1</v>
      </c>
      <c r="D206" s="2" t="s">
        <v>1461</v>
      </c>
    </row>
    <row r="207" customFormat="false" ht="15" hidden="false" customHeight="false" outlineLevel="0" collapsed="false">
      <c r="A207" s="2" t="s">
        <v>1912</v>
      </c>
      <c r="B207" s="2" t="s">
        <v>2061</v>
      </c>
      <c r="C207" s="2" t="n">
        <v>1</v>
      </c>
      <c r="D207" s="2" t="s">
        <v>1554</v>
      </c>
    </row>
    <row r="208" customFormat="false" ht="15" hidden="false" customHeight="false" outlineLevel="0" collapsed="false">
      <c r="A208" s="2" t="s">
        <v>1912</v>
      </c>
      <c r="B208" s="2" t="s">
        <v>2062</v>
      </c>
      <c r="C208" s="2" t="n">
        <v>1</v>
      </c>
      <c r="D208" s="2" t="s">
        <v>1479</v>
      </c>
    </row>
    <row r="209" customFormat="false" ht="15" hidden="false" customHeight="false" outlineLevel="0" collapsed="false">
      <c r="A209" s="2" t="s">
        <v>1912</v>
      </c>
      <c r="B209" s="2" t="s">
        <v>2063</v>
      </c>
      <c r="C209" s="2" t="n">
        <v>1</v>
      </c>
      <c r="D209" s="2" t="s">
        <v>1733</v>
      </c>
    </row>
    <row r="210" customFormat="false" ht="15" hidden="false" customHeight="false" outlineLevel="0" collapsed="false">
      <c r="A210" s="2" t="s">
        <v>1912</v>
      </c>
      <c r="B210" s="2" t="s">
        <v>2064</v>
      </c>
      <c r="C210" s="2" t="n">
        <v>1</v>
      </c>
      <c r="D210" s="2" t="s">
        <v>1733</v>
      </c>
    </row>
    <row r="211" customFormat="false" ht="15" hidden="false" customHeight="false" outlineLevel="0" collapsed="false">
      <c r="A211" s="2" t="s">
        <v>1912</v>
      </c>
      <c r="B211" s="2" t="s">
        <v>2065</v>
      </c>
      <c r="C211" s="2" t="n">
        <v>1</v>
      </c>
      <c r="D211" s="2" t="s">
        <v>1388</v>
      </c>
    </row>
    <row r="212" customFormat="false" ht="15" hidden="false" customHeight="false" outlineLevel="0" collapsed="false">
      <c r="A212" s="2" t="s">
        <v>1912</v>
      </c>
      <c r="B212" s="2" t="s">
        <v>2066</v>
      </c>
      <c r="C212" s="2" t="n">
        <v>1</v>
      </c>
      <c r="D212" s="2" t="s">
        <v>1351</v>
      </c>
    </row>
    <row r="213" customFormat="false" ht="15" hidden="false" customHeight="false" outlineLevel="0" collapsed="false">
      <c r="A213" s="2" t="s">
        <v>1912</v>
      </c>
      <c r="B213" s="2" t="s">
        <v>2067</v>
      </c>
      <c r="C213" s="2" t="n">
        <v>1</v>
      </c>
      <c r="D213" s="2" t="s">
        <v>1520</v>
      </c>
    </row>
    <row r="214" customFormat="false" ht="15" hidden="false" customHeight="false" outlineLevel="0" collapsed="false">
      <c r="A214" s="2" t="s">
        <v>1912</v>
      </c>
      <c r="B214" s="2" t="s">
        <v>2068</v>
      </c>
      <c r="C214" s="2" t="n">
        <v>1</v>
      </c>
      <c r="D214" s="2" t="s">
        <v>1520</v>
      </c>
    </row>
    <row r="215" customFormat="false" ht="15" hidden="false" customHeight="false" outlineLevel="0" collapsed="false">
      <c r="A215" s="2" t="s">
        <v>1912</v>
      </c>
      <c r="B215" s="2" t="s">
        <v>2069</v>
      </c>
      <c r="C215" s="2" t="n">
        <v>1</v>
      </c>
      <c r="D215" s="2" t="s">
        <v>1447</v>
      </c>
    </row>
    <row r="216" customFormat="false" ht="15" hidden="false" customHeight="false" outlineLevel="0" collapsed="false">
      <c r="A216" s="2" t="s">
        <v>1912</v>
      </c>
      <c r="B216" s="2" t="s">
        <v>2070</v>
      </c>
      <c r="C216" s="2" t="n">
        <v>1</v>
      </c>
      <c r="D216" s="2" t="s">
        <v>2071</v>
      </c>
    </row>
    <row r="217" customFormat="false" ht="15" hidden="false" customHeight="false" outlineLevel="0" collapsed="false">
      <c r="A217" s="2" t="s">
        <v>1912</v>
      </c>
      <c r="B217" s="2" t="s">
        <v>2072</v>
      </c>
      <c r="C217" s="2" t="n">
        <v>1</v>
      </c>
      <c r="D217" s="2" t="s">
        <v>1550</v>
      </c>
    </row>
    <row r="218" customFormat="false" ht="15" hidden="false" customHeight="false" outlineLevel="0" collapsed="false">
      <c r="A218" s="2" t="s">
        <v>1912</v>
      </c>
      <c r="B218" s="2" t="s">
        <v>2073</v>
      </c>
      <c r="C218" s="2" t="n">
        <v>1</v>
      </c>
      <c r="D218" s="2" t="s">
        <v>2074</v>
      </c>
    </row>
    <row r="219" customFormat="false" ht="15" hidden="false" customHeight="false" outlineLevel="0" collapsed="false">
      <c r="A219" s="2" t="s">
        <v>1912</v>
      </c>
      <c r="B219" s="2" t="s">
        <v>2075</v>
      </c>
      <c r="C219" s="2" t="n">
        <v>1</v>
      </c>
      <c r="D219" s="2" t="s">
        <v>2076</v>
      </c>
    </row>
    <row r="220" customFormat="false" ht="35.05" hidden="false" customHeight="false" outlineLevel="0" collapsed="false">
      <c r="A220" s="2" t="s">
        <v>2077</v>
      </c>
      <c r="B220" s="2" t="s">
        <v>2078</v>
      </c>
      <c r="C220" s="2" t="n">
        <v>97</v>
      </c>
      <c r="D220" s="2" t="s">
        <v>2079</v>
      </c>
    </row>
    <row r="221" customFormat="false" ht="35.05" hidden="false" customHeight="false" outlineLevel="0" collapsed="false">
      <c r="A221" s="2" t="s">
        <v>2077</v>
      </c>
      <c r="B221" s="2" t="s">
        <v>2080</v>
      </c>
      <c r="C221" s="2" t="n">
        <v>86</v>
      </c>
      <c r="D221" s="2" t="s">
        <v>2081</v>
      </c>
    </row>
    <row r="222" customFormat="false" ht="35.05" hidden="false" customHeight="false" outlineLevel="0" collapsed="false">
      <c r="A222" s="2" t="s">
        <v>2077</v>
      </c>
      <c r="B222" s="2" t="s">
        <v>2082</v>
      </c>
      <c r="C222" s="2" t="n">
        <v>49</v>
      </c>
      <c r="D222" s="2" t="s">
        <v>2083</v>
      </c>
    </row>
    <row r="223" customFormat="false" ht="46.25" hidden="false" customHeight="false" outlineLevel="0" collapsed="false">
      <c r="A223" s="2" t="s">
        <v>2077</v>
      </c>
      <c r="B223" s="2" t="s">
        <v>2084</v>
      </c>
      <c r="C223" s="2" t="n">
        <v>41</v>
      </c>
      <c r="D223" s="2" t="s">
        <v>2085</v>
      </c>
    </row>
    <row r="224" customFormat="false" ht="35.05" hidden="false" customHeight="false" outlineLevel="0" collapsed="false">
      <c r="A224" s="2" t="s">
        <v>2077</v>
      </c>
      <c r="B224" s="2" t="s">
        <v>2086</v>
      </c>
      <c r="C224" s="2" t="n">
        <v>21</v>
      </c>
      <c r="D224" s="2" t="s">
        <v>2087</v>
      </c>
    </row>
    <row r="225" customFormat="false" ht="35.05" hidden="false" customHeight="false" outlineLevel="0" collapsed="false">
      <c r="A225" s="2" t="s">
        <v>2077</v>
      </c>
      <c r="B225" s="2" t="s">
        <v>2088</v>
      </c>
      <c r="C225" s="2" t="n">
        <v>13</v>
      </c>
      <c r="D225" s="2" t="s">
        <v>2089</v>
      </c>
    </row>
    <row r="226" customFormat="false" ht="46.25" hidden="false" customHeight="false" outlineLevel="0" collapsed="false">
      <c r="A226" s="2" t="s">
        <v>2077</v>
      </c>
      <c r="B226" s="2" t="s">
        <v>2090</v>
      </c>
      <c r="C226" s="2" t="n">
        <v>12</v>
      </c>
      <c r="D226" s="2" t="s">
        <v>2091</v>
      </c>
    </row>
    <row r="227" customFormat="false" ht="35.05" hidden="false" customHeight="false" outlineLevel="0" collapsed="false">
      <c r="A227" s="2" t="s">
        <v>2077</v>
      </c>
      <c r="B227" s="2" t="s">
        <v>2092</v>
      </c>
      <c r="C227" s="2" t="n">
        <v>11</v>
      </c>
      <c r="D227" s="2" t="s">
        <v>2093</v>
      </c>
    </row>
    <row r="228" customFormat="false" ht="23.85" hidden="false" customHeight="false" outlineLevel="0" collapsed="false">
      <c r="A228" s="2" t="s">
        <v>2077</v>
      </c>
      <c r="B228" s="2" t="s">
        <v>2094</v>
      </c>
      <c r="C228" s="2" t="n">
        <v>11</v>
      </c>
      <c r="D228" s="2" t="s">
        <v>2095</v>
      </c>
    </row>
    <row r="229" customFormat="false" ht="35.05" hidden="false" customHeight="false" outlineLevel="0" collapsed="false">
      <c r="A229" s="2" t="s">
        <v>2077</v>
      </c>
      <c r="B229" s="2" t="s">
        <v>2096</v>
      </c>
      <c r="C229" s="2" t="n">
        <v>11</v>
      </c>
      <c r="D229" s="2" t="s">
        <v>2097</v>
      </c>
    </row>
    <row r="230" customFormat="false" ht="23.85" hidden="false" customHeight="false" outlineLevel="0" collapsed="false">
      <c r="A230" s="2" t="s">
        <v>2077</v>
      </c>
      <c r="B230" s="2" t="s">
        <v>2098</v>
      </c>
      <c r="C230" s="2" t="n">
        <v>7</v>
      </c>
      <c r="D230" s="2" t="s">
        <v>2099</v>
      </c>
    </row>
    <row r="231" customFormat="false" ht="23.85" hidden="false" customHeight="false" outlineLevel="0" collapsed="false">
      <c r="A231" s="2" t="s">
        <v>2077</v>
      </c>
      <c r="B231" s="2" t="s">
        <v>2100</v>
      </c>
      <c r="C231" s="2" t="n">
        <v>7</v>
      </c>
      <c r="D231" s="2" t="s">
        <v>2101</v>
      </c>
    </row>
    <row r="232" customFormat="false" ht="23.85" hidden="false" customHeight="false" outlineLevel="0" collapsed="false">
      <c r="A232" s="2" t="s">
        <v>2077</v>
      </c>
      <c r="B232" s="2" t="s">
        <v>2102</v>
      </c>
      <c r="C232" s="2" t="n">
        <v>7</v>
      </c>
      <c r="D232" s="2" t="s">
        <v>2103</v>
      </c>
    </row>
    <row r="233" customFormat="false" ht="15" hidden="false" customHeight="false" outlineLevel="0" collapsed="false">
      <c r="A233" s="2" t="s">
        <v>2077</v>
      </c>
      <c r="B233" s="2" t="s">
        <v>2104</v>
      </c>
      <c r="C233" s="2" t="n">
        <v>4</v>
      </c>
      <c r="D233" s="2" t="s">
        <v>1836</v>
      </c>
    </row>
    <row r="234" customFormat="false" ht="23.85" hidden="false" customHeight="false" outlineLevel="0" collapsed="false">
      <c r="A234" s="2" t="s">
        <v>2077</v>
      </c>
      <c r="B234" s="2" t="s">
        <v>2105</v>
      </c>
      <c r="C234" s="2" t="n">
        <v>4</v>
      </c>
      <c r="D234" s="2" t="s">
        <v>2106</v>
      </c>
    </row>
    <row r="235" customFormat="false" ht="15" hidden="false" customHeight="false" outlineLevel="0" collapsed="false">
      <c r="A235" s="2" t="s">
        <v>2077</v>
      </c>
      <c r="B235" s="2" t="s">
        <v>2107</v>
      </c>
      <c r="C235" s="2" t="n">
        <v>3</v>
      </c>
      <c r="D235" s="2" t="s">
        <v>2108</v>
      </c>
    </row>
    <row r="236" customFormat="false" ht="15" hidden="false" customHeight="false" outlineLevel="0" collapsed="false">
      <c r="A236" s="2" t="s">
        <v>2077</v>
      </c>
      <c r="B236" s="2" t="s">
        <v>2109</v>
      </c>
      <c r="C236" s="2" t="n">
        <v>2</v>
      </c>
      <c r="D236" s="2" t="s">
        <v>1493</v>
      </c>
    </row>
    <row r="237" customFormat="false" ht="15" hidden="false" customHeight="false" outlineLevel="0" collapsed="false">
      <c r="A237" s="2" t="s">
        <v>2077</v>
      </c>
      <c r="B237" s="2" t="s">
        <v>2110</v>
      </c>
      <c r="C237" s="2" t="n">
        <v>2</v>
      </c>
      <c r="D237" s="2" t="s">
        <v>2111</v>
      </c>
    </row>
    <row r="238" customFormat="false" ht="15" hidden="false" customHeight="false" outlineLevel="0" collapsed="false">
      <c r="A238" s="2" t="s">
        <v>2077</v>
      </c>
      <c r="B238" s="2" t="s">
        <v>2112</v>
      </c>
      <c r="C238" s="2" t="n">
        <v>2</v>
      </c>
      <c r="D238" s="2" t="s">
        <v>2113</v>
      </c>
    </row>
    <row r="239" customFormat="false" ht="15" hidden="false" customHeight="false" outlineLevel="0" collapsed="false">
      <c r="A239" s="2" t="s">
        <v>2077</v>
      </c>
      <c r="B239" s="2" t="s">
        <v>2114</v>
      </c>
      <c r="C239" s="2" t="n">
        <v>1</v>
      </c>
      <c r="D239" s="2" t="s">
        <v>1994</v>
      </c>
    </row>
    <row r="240" customFormat="false" ht="15" hidden="false" customHeight="false" outlineLevel="0" collapsed="false">
      <c r="A240" s="2" t="s">
        <v>2077</v>
      </c>
      <c r="B240" s="2" t="s">
        <v>2115</v>
      </c>
      <c r="C240" s="2" t="n">
        <v>1</v>
      </c>
      <c r="D240" s="2" t="s">
        <v>1493</v>
      </c>
    </row>
    <row r="241" customFormat="false" ht="15" hidden="false" customHeight="false" outlineLevel="0" collapsed="false">
      <c r="A241" s="2" t="s">
        <v>2077</v>
      </c>
      <c r="B241" s="2" t="s">
        <v>2116</v>
      </c>
      <c r="C241" s="2" t="n">
        <v>1</v>
      </c>
      <c r="D241" s="2" t="s">
        <v>1493</v>
      </c>
    </row>
    <row r="242" customFormat="false" ht="15" hidden="false" customHeight="false" outlineLevel="0" collapsed="false">
      <c r="A242" s="2" t="s">
        <v>2077</v>
      </c>
      <c r="B242" s="2" t="s">
        <v>2117</v>
      </c>
      <c r="C242" s="2" t="n">
        <v>1</v>
      </c>
      <c r="D242" s="2" t="s">
        <v>1863</v>
      </c>
    </row>
    <row r="243" customFormat="false" ht="15" hidden="false" customHeight="false" outlineLevel="0" collapsed="false">
      <c r="A243" s="2" t="s">
        <v>2077</v>
      </c>
      <c r="B243" s="2" t="s">
        <v>2118</v>
      </c>
      <c r="C243" s="2" t="n">
        <v>1</v>
      </c>
      <c r="D243" s="2" t="s">
        <v>1443</v>
      </c>
    </row>
    <row r="244" customFormat="false" ht="15" hidden="false" customHeight="false" outlineLevel="0" collapsed="false">
      <c r="A244" s="2" t="s">
        <v>2077</v>
      </c>
      <c r="B244" s="2" t="s">
        <v>2119</v>
      </c>
      <c r="C244" s="2" t="n">
        <v>1</v>
      </c>
      <c r="D244" s="2" t="s">
        <v>1452</v>
      </c>
    </row>
    <row r="245" customFormat="false" ht="15" hidden="false" customHeight="false" outlineLevel="0" collapsed="false">
      <c r="A245" s="2" t="s">
        <v>2120</v>
      </c>
      <c r="B245" s="2" t="s">
        <v>2121</v>
      </c>
      <c r="C245" s="2" t="n">
        <v>2</v>
      </c>
      <c r="D245" s="2" t="s">
        <v>1854</v>
      </c>
    </row>
    <row r="246" customFormat="false" ht="15" hidden="false" customHeight="false" outlineLevel="0" collapsed="false">
      <c r="A246" s="2" t="s">
        <v>2120</v>
      </c>
      <c r="B246" s="2" t="s">
        <v>2122</v>
      </c>
      <c r="C246" s="2" t="n">
        <v>2</v>
      </c>
      <c r="D246" s="2" t="s">
        <v>1542</v>
      </c>
    </row>
    <row r="247" customFormat="false" ht="15" hidden="false" customHeight="false" outlineLevel="0" collapsed="false">
      <c r="A247" s="2" t="s">
        <v>2120</v>
      </c>
      <c r="B247" s="2" t="s">
        <v>2123</v>
      </c>
      <c r="C247" s="2" t="n">
        <v>2</v>
      </c>
      <c r="D247" s="2" t="s">
        <v>1542</v>
      </c>
    </row>
    <row r="248" customFormat="false" ht="35.05" hidden="false" customHeight="false" outlineLevel="0" collapsed="false">
      <c r="A248" s="2" t="s">
        <v>2124</v>
      </c>
      <c r="B248" s="2" t="s">
        <v>2125</v>
      </c>
      <c r="C248" s="2" t="n">
        <v>16</v>
      </c>
      <c r="D248" s="2" t="s">
        <v>2126</v>
      </c>
    </row>
    <row r="249" customFormat="false" ht="23.85" hidden="false" customHeight="false" outlineLevel="0" collapsed="false">
      <c r="A249" s="2" t="s">
        <v>2124</v>
      </c>
      <c r="B249" s="2" t="s">
        <v>1714</v>
      </c>
      <c r="C249" s="2" t="n">
        <v>11</v>
      </c>
      <c r="D249" s="2" t="s">
        <v>1715</v>
      </c>
    </row>
    <row r="250" customFormat="false" ht="23.85" hidden="false" customHeight="false" outlineLevel="0" collapsed="false">
      <c r="A250" s="2" t="s">
        <v>2124</v>
      </c>
      <c r="B250" s="2" t="s">
        <v>2127</v>
      </c>
      <c r="C250" s="2" t="n">
        <v>6</v>
      </c>
      <c r="D250" s="2" t="s">
        <v>2128</v>
      </c>
    </row>
    <row r="251" customFormat="false" ht="23.85" hidden="false" customHeight="false" outlineLevel="0" collapsed="false">
      <c r="A251" s="2" t="s">
        <v>2124</v>
      </c>
      <c r="B251" s="2" t="s">
        <v>2129</v>
      </c>
      <c r="C251" s="2" t="n">
        <v>5</v>
      </c>
      <c r="D251" s="2" t="s">
        <v>2130</v>
      </c>
    </row>
    <row r="252" customFormat="false" ht="35.05" hidden="false" customHeight="false" outlineLevel="0" collapsed="false">
      <c r="A252" s="2" t="s">
        <v>2131</v>
      </c>
      <c r="B252" s="2" t="s">
        <v>2132</v>
      </c>
      <c r="C252" s="2" t="n">
        <v>350</v>
      </c>
      <c r="D252" s="2" t="s">
        <v>2133</v>
      </c>
    </row>
    <row r="253" customFormat="false" ht="35.05" hidden="false" customHeight="false" outlineLevel="0" collapsed="false">
      <c r="A253" s="2" t="s">
        <v>2131</v>
      </c>
      <c r="B253" s="2" t="s">
        <v>2134</v>
      </c>
      <c r="C253" s="2" t="n">
        <v>96</v>
      </c>
      <c r="D253" s="2" t="s">
        <v>2135</v>
      </c>
    </row>
    <row r="254" customFormat="false" ht="35.05" hidden="false" customHeight="false" outlineLevel="0" collapsed="false">
      <c r="A254" s="2" t="s">
        <v>2131</v>
      </c>
      <c r="B254" s="2" t="s">
        <v>2136</v>
      </c>
      <c r="C254" s="2" t="n">
        <v>25</v>
      </c>
      <c r="D254" s="2" t="s">
        <v>2137</v>
      </c>
    </row>
    <row r="255" customFormat="false" ht="35.05" hidden="false" customHeight="false" outlineLevel="0" collapsed="false">
      <c r="A255" s="2" t="s">
        <v>2131</v>
      </c>
      <c r="B255" s="2" t="s">
        <v>2138</v>
      </c>
      <c r="C255" s="2" t="n">
        <v>20</v>
      </c>
      <c r="D255" s="2" t="s">
        <v>2139</v>
      </c>
    </row>
    <row r="256" customFormat="false" ht="23.85" hidden="false" customHeight="false" outlineLevel="0" collapsed="false">
      <c r="A256" s="2" t="s">
        <v>2131</v>
      </c>
      <c r="B256" s="2" t="s">
        <v>2140</v>
      </c>
      <c r="C256" s="2" t="n">
        <v>9</v>
      </c>
      <c r="D256" s="2" t="s">
        <v>2141</v>
      </c>
    </row>
    <row r="257" customFormat="false" ht="23.85" hidden="false" customHeight="false" outlineLevel="0" collapsed="false">
      <c r="A257" s="2" t="s">
        <v>2131</v>
      </c>
      <c r="B257" s="2" t="s">
        <v>2142</v>
      </c>
      <c r="C257" s="2" t="n">
        <v>8</v>
      </c>
      <c r="D257" s="2" t="s">
        <v>2143</v>
      </c>
    </row>
    <row r="258" customFormat="false" ht="15" hidden="false" customHeight="false" outlineLevel="0" collapsed="false">
      <c r="A258" s="2" t="s">
        <v>2131</v>
      </c>
      <c r="B258" s="2" t="s">
        <v>2144</v>
      </c>
      <c r="C258" s="2" t="n">
        <v>8</v>
      </c>
      <c r="D258" s="2" t="s">
        <v>2145</v>
      </c>
    </row>
    <row r="259" customFormat="false" ht="15" hidden="false" customHeight="false" outlineLevel="0" collapsed="false">
      <c r="A259" s="2" t="s">
        <v>2131</v>
      </c>
      <c r="B259" s="2" t="s">
        <v>2146</v>
      </c>
      <c r="C259" s="2" t="n">
        <v>7</v>
      </c>
      <c r="D259" s="2" t="s">
        <v>2147</v>
      </c>
    </row>
    <row r="260" customFormat="false" ht="23.85" hidden="false" customHeight="false" outlineLevel="0" collapsed="false">
      <c r="A260" s="2" t="s">
        <v>2131</v>
      </c>
      <c r="B260" s="2" t="s">
        <v>2148</v>
      </c>
      <c r="C260" s="2" t="n">
        <v>4</v>
      </c>
      <c r="D260" s="2" t="s">
        <v>2149</v>
      </c>
    </row>
    <row r="261" customFormat="false" ht="15" hidden="false" customHeight="false" outlineLevel="0" collapsed="false">
      <c r="A261" s="2" t="s">
        <v>2131</v>
      </c>
      <c r="B261" s="2" t="s">
        <v>2150</v>
      </c>
      <c r="C261" s="2" t="n">
        <v>4</v>
      </c>
      <c r="D261" s="2" t="s">
        <v>2151</v>
      </c>
    </row>
    <row r="262" customFormat="false" ht="15" hidden="false" customHeight="false" outlineLevel="0" collapsed="false">
      <c r="A262" s="2" t="s">
        <v>2131</v>
      </c>
      <c r="B262" s="2" t="s">
        <v>2152</v>
      </c>
      <c r="C262" s="2" t="n">
        <v>2</v>
      </c>
      <c r="D262" s="2" t="s">
        <v>1493</v>
      </c>
    </row>
    <row r="263" customFormat="false" ht="15" hidden="false" customHeight="false" outlineLevel="0" collapsed="false">
      <c r="A263" s="2" t="s">
        <v>2131</v>
      </c>
      <c r="B263" s="2" t="s">
        <v>2153</v>
      </c>
      <c r="C263" s="2" t="n">
        <v>2</v>
      </c>
      <c r="D263" s="2" t="s">
        <v>1379</v>
      </c>
    </row>
    <row r="264" customFormat="false" ht="15" hidden="false" customHeight="false" outlineLevel="0" collapsed="false">
      <c r="A264" s="2" t="s">
        <v>2131</v>
      </c>
      <c r="B264" s="2" t="s">
        <v>2154</v>
      </c>
      <c r="C264" s="2" t="n">
        <v>2</v>
      </c>
      <c r="D264" s="2" t="s">
        <v>2155</v>
      </c>
    </row>
    <row r="265" customFormat="false" ht="15" hidden="false" customHeight="false" outlineLevel="0" collapsed="false">
      <c r="A265" s="2" t="s">
        <v>2131</v>
      </c>
      <c r="B265" s="2" t="s">
        <v>2156</v>
      </c>
      <c r="C265" s="2" t="n">
        <v>1</v>
      </c>
      <c r="D265" s="2" t="s">
        <v>1756</v>
      </c>
    </row>
    <row r="266" customFormat="false" ht="15" hidden="false" customHeight="false" outlineLevel="0" collapsed="false">
      <c r="A266" s="2" t="s">
        <v>2131</v>
      </c>
      <c r="B266" s="2" t="s">
        <v>2157</v>
      </c>
      <c r="C266" s="2" t="n">
        <v>1</v>
      </c>
      <c r="D266" s="2" t="s">
        <v>1756</v>
      </c>
    </row>
    <row r="267" customFormat="false" ht="15" hidden="false" customHeight="false" outlineLevel="0" collapsed="false">
      <c r="A267" s="2" t="s">
        <v>2131</v>
      </c>
      <c r="B267" s="2" t="s">
        <v>2158</v>
      </c>
      <c r="C267" s="2" t="n">
        <v>1</v>
      </c>
      <c r="D267" s="2" t="s">
        <v>1379</v>
      </c>
    </row>
    <row r="268" customFormat="false" ht="15" hidden="false" customHeight="false" outlineLevel="0" collapsed="false">
      <c r="A268" s="2" t="s">
        <v>2131</v>
      </c>
      <c r="B268" s="2" t="s">
        <v>2159</v>
      </c>
      <c r="C268" s="2" t="n">
        <v>1</v>
      </c>
      <c r="D268" s="2" t="s">
        <v>1364</v>
      </c>
    </row>
    <row r="269" customFormat="false" ht="15" hidden="false" customHeight="false" outlineLevel="0" collapsed="false">
      <c r="A269" s="2" t="s">
        <v>2131</v>
      </c>
      <c r="B269" s="2" t="s">
        <v>2160</v>
      </c>
      <c r="C269" s="2" t="n">
        <v>1</v>
      </c>
      <c r="D269" s="2" t="s">
        <v>1803</v>
      </c>
    </row>
    <row r="270" customFormat="false" ht="15" hidden="false" customHeight="false" outlineLevel="0" collapsed="false">
      <c r="A270" s="2" t="s">
        <v>2161</v>
      </c>
      <c r="B270" s="2" t="s">
        <v>2162</v>
      </c>
      <c r="C270" s="2" t="n">
        <v>30</v>
      </c>
      <c r="D270" s="2" t="s">
        <v>2163</v>
      </c>
    </row>
  </sheetData>
  <autoFilter ref="A1:D27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  <col collapsed="false" customWidth="true" hidden="false" outlineLevel="0" max="6" min="2" style="0" width="10"/>
    <col collapsed="false" customWidth="true" hidden="false" outlineLevel="0" max="7" min="7" style="0" width="8"/>
  </cols>
  <sheetData>
    <row r="1" customFormat="false" ht="26.85" hidden="false" customHeight="false" outlineLevel="0" collapsed="false">
      <c r="A1" s="3" t="s">
        <v>1215</v>
      </c>
      <c r="B1" s="3" t="s">
        <v>2164</v>
      </c>
      <c r="C1" s="3" t="s">
        <v>2165</v>
      </c>
      <c r="D1" s="3" t="s">
        <v>2166</v>
      </c>
      <c r="E1" s="3" t="s">
        <v>2167</v>
      </c>
      <c r="F1" s="3" t="s">
        <v>2168</v>
      </c>
      <c r="G1" s="3" t="s">
        <v>2169</v>
      </c>
    </row>
    <row r="2" customFormat="false" ht="15" hidden="false" customHeight="false" outlineLevel="0" collapsed="false">
      <c r="A2" s="2" t="s">
        <v>2170</v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str">
        <f aca="false">IF(SUM(B2:F2)&gt;0,"yes","no")</f>
        <v>no</v>
      </c>
    </row>
    <row r="3" customFormat="false" ht="15" hidden="false" customHeight="false" outlineLevel="0" collapsed="false">
      <c r="A3" s="2" t="s">
        <v>1994</v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str">
        <f aca="false">IF(SUM(B3:F3)&gt;0,"yes","no")</f>
        <v>no</v>
      </c>
    </row>
    <row r="4" customFormat="false" ht="15" hidden="false" customHeight="false" outlineLevel="0" collapsed="false">
      <c r="A4" s="2" t="s">
        <v>2171</v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str">
        <f aca="false">IF(SUM(B4:F4)&gt;0,"yes","no")</f>
        <v>no</v>
      </c>
    </row>
    <row r="5" customFormat="false" ht="15" hidden="false" customHeight="false" outlineLevel="0" collapsed="false">
      <c r="A5" s="2" t="s">
        <v>2172</v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str">
        <f aca="false">IF(SUM(B5:F5)&gt;0,"yes","no")</f>
        <v>no</v>
      </c>
    </row>
    <row r="6" customFormat="false" ht="15" hidden="false" customHeight="false" outlineLevel="0" collapsed="false">
      <c r="A6" s="2" t="s">
        <v>2040</v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str">
        <f aca="false">IF(SUM(B6:F6)&gt;0,"yes","no")</f>
        <v>no</v>
      </c>
    </row>
    <row r="7" customFormat="false" ht="15" hidden="false" customHeight="false" outlineLevel="0" collapsed="false">
      <c r="A7" s="2" t="s">
        <v>2173</v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str">
        <f aca="false">IF(SUM(B7:F7)&gt;0,"yes","no")</f>
        <v>no</v>
      </c>
    </row>
    <row r="8" customFormat="false" ht="15" hidden="false" customHeight="false" outlineLevel="0" collapsed="false">
      <c r="A8" s="2" t="s">
        <v>2174</v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str">
        <f aca="false">IF(SUM(B8:F8)&gt;0,"yes","no")</f>
        <v>no</v>
      </c>
    </row>
    <row r="9" customFormat="false" ht="15" hidden="false" customHeight="false" outlineLevel="0" collapsed="false">
      <c r="A9" s="2" t="s">
        <v>2175</v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str">
        <f aca="false">IF(SUM(B9:F9)&gt;0,"yes","no")</f>
        <v>no</v>
      </c>
    </row>
    <row r="10" customFormat="false" ht="15" hidden="false" customHeight="false" outlineLevel="0" collapsed="false">
      <c r="A10" s="2" t="s">
        <v>2176</v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str">
        <f aca="false">IF(SUM(B10:F10)&gt;0,"yes","no")</f>
        <v>no</v>
      </c>
    </row>
    <row r="11" customFormat="false" ht="15" hidden="false" customHeight="false" outlineLevel="0" collapsed="false">
      <c r="A11" s="2" t="s">
        <v>2177</v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str">
        <f aca="false">IF(SUM(B11:F11)&gt;0,"yes","no")</f>
        <v>no</v>
      </c>
    </row>
    <row r="12" customFormat="false" ht="15" hidden="false" customHeight="false" outlineLevel="0" collapsed="false">
      <c r="A12" s="2" t="s">
        <v>2178</v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str">
        <f aca="false">IF(SUM(B12:F12)&gt;0,"yes","no")</f>
        <v>no</v>
      </c>
    </row>
    <row r="13" customFormat="false" ht="15" hidden="false" customHeight="false" outlineLevel="0" collapsed="false">
      <c r="A13" s="2" t="s">
        <v>2179</v>
      </c>
      <c r="B13" s="2" t="n">
        <v>0</v>
      </c>
      <c r="C13" s="2" t="n">
        <v>4</v>
      </c>
      <c r="D13" s="2" t="n">
        <v>0</v>
      </c>
      <c r="E13" s="2" t="n">
        <v>0</v>
      </c>
      <c r="F13" s="2" t="n">
        <v>0</v>
      </c>
      <c r="G13" s="2" t="str">
        <f aca="false">IF(SUM(B13:F13)&gt;0,"yes","no")</f>
        <v>yes</v>
      </c>
    </row>
    <row r="14" customFormat="false" ht="15" hidden="false" customHeight="false" outlineLevel="0" collapsed="false">
      <c r="A14" s="2" t="s">
        <v>2180</v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str">
        <f aca="false">IF(SUM(B14:F14)&gt;0,"yes","no")</f>
        <v>no</v>
      </c>
    </row>
    <row r="15" customFormat="false" ht="15" hidden="false" customHeight="false" outlineLevel="0" collapsed="false">
      <c r="A15" s="2" t="s">
        <v>2181</v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str">
        <f aca="false">IF(SUM(B15:F15)&gt;0,"yes","no")</f>
        <v>no</v>
      </c>
    </row>
    <row r="16" customFormat="false" ht="15" hidden="false" customHeight="false" outlineLevel="0" collapsed="false">
      <c r="A16" s="2" t="s">
        <v>2182</v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str">
        <f aca="false">IF(SUM(B16:F16)&gt;0,"yes","no")</f>
        <v>no</v>
      </c>
    </row>
    <row r="17" customFormat="false" ht="15" hidden="false" customHeight="false" outlineLevel="0" collapsed="false">
      <c r="A17" s="2" t="s">
        <v>1756</v>
      </c>
      <c r="B17" s="2" t="n">
        <v>1</v>
      </c>
      <c r="C17" s="2" t="n">
        <v>4</v>
      </c>
      <c r="D17" s="2" t="n">
        <v>0</v>
      </c>
      <c r="E17" s="2" t="n">
        <v>0</v>
      </c>
      <c r="F17" s="2" t="n">
        <v>0</v>
      </c>
      <c r="G17" s="2" t="str">
        <f aca="false">IF(SUM(B17:F17)&gt;0,"yes","no")</f>
        <v>yes</v>
      </c>
    </row>
    <row r="18" customFormat="false" ht="15" hidden="false" customHeight="false" outlineLevel="0" collapsed="false">
      <c r="A18" s="2" t="s">
        <v>2183</v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str">
        <f aca="false">IF(SUM(B18:F18)&gt;0,"yes","no")</f>
        <v>no</v>
      </c>
    </row>
    <row r="19" customFormat="false" ht="15" hidden="false" customHeight="false" outlineLevel="0" collapsed="false">
      <c r="A19" s="2" t="s">
        <v>2184</v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str">
        <f aca="false">IF(SUM(B19:F19)&gt;0,"yes","no")</f>
        <v>no</v>
      </c>
    </row>
    <row r="20" customFormat="false" ht="15" hidden="false" customHeight="false" outlineLevel="0" collapsed="false">
      <c r="A20" s="2" t="s">
        <v>2185</v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str">
        <f aca="false">IF(SUM(B20:F20)&gt;0,"yes","no")</f>
        <v>no</v>
      </c>
    </row>
    <row r="21" customFormat="false" ht="15" hidden="false" customHeight="false" outlineLevel="0" collapsed="false">
      <c r="A21" s="2" t="s">
        <v>2047</v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str">
        <f aca="false">IF(SUM(B21:F21)&gt;0,"yes","no")</f>
        <v>no</v>
      </c>
    </row>
    <row r="22" customFormat="false" ht="15" hidden="false" customHeight="false" outlineLevel="0" collapsed="false">
      <c r="A22" s="2" t="s">
        <v>2186</v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str">
        <f aca="false">IF(SUM(B22:F22)&gt;0,"yes","no")</f>
        <v>no</v>
      </c>
    </row>
    <row r="23" customFormat="false" ht="15" hidden="false" customHeight="false" outlineLevel="0" collapsed="false">
      <c r="A23" s="2" t="s">
        <v>2187</v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str">
        <f aca="false">IF(SUM(B23:F23)&gt;0,"yes","no")</f>
        <v>no</v>
      </c>
    </row>
    <row r="24" customFormat="false" ht="15" hidden="false" customHeight="false" outlineLevel="0" collapsed="false">
      <c r="A24" s="2" t="s">
        <v>2188</v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str">
        <f aca="false">IF(SUM(B24:F24)&gt;0,"yes","no")</f>
        <v>no</v>
      </c>
    </row>
    <row r="25" customFormat="false" ht="15" hidden="false" customHeight="false" outlineLevel="0" collapsed="false">
      <c r="A25" s="2" t="s">
        <v>1758</v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str">
        <f aca="false">IF(SUM(B25:F25)&gt;0,"yes","no")</f>
        <v>no</v>
      </c>
    </row>
    <row r="26" customFormat="false" ht="15" hidden="false" customHeight="false" outlineLevel="0" collapsed="false">
      <c r="A26" s="2" t="s">
        <v>2189</v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str">
        <f aca="false">IF(SUM(B26:F26)&gt;0,"yes","no")</f>
        <v>no</v>
      </c>
    </row>
    <row r="27" customFormat="false" ht="15" hidden="false" customHeight="false" outlineLevel="0" collapsed="false">
      <c r="A27" s="2" t="s">
        <v>2190</v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str">
        <f aca="false">IF(SUM(B27:F27)&gt;0,"yes","no")</f>
        <v>no</v>
      </c>
    </row>
    <row r="28" customFormat="false" ht="15" hidden="false" customHeight="false" outlineLevel="0" collapsed="false">
      <c r="A28" s="2" t="s">
        <v>2191</v>
      </c>
      <c r="B28" s="2" t="n">
        <v>0</v>
      </c>
      <c r="C28" s="2" t="n">
        <v>1</v>
      </c>
      <c r="D28" s="2" t="n">
        <v>0</v>
      </c>
      <c r="E28" s="2" t="n">
        <v>0</v>
      </c>
      <c r="F28" s="2" t="n">
        <v>0</v>
      </c>
      <c r="G28" s="2" t="str">
        <f aca="false">IF(SUM(B28:F28)&gt;0,"yes","no")</f>
        <v>yes</v>
      </c>
    </row>
    <row r="29" customFormat="false" ht="15" hidden="false" customHeight="false" outlineLevel="0" collapsed="false">
      <c r="A29" s="2" t="s">
        <v>2192</v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str">
        <f aca="false">IF(SUM(B29:F29)&gt;0,"yes","no")</f>
        <v>no</v>
      </c>
    </row>
    <row r="30" customFormat="false" ht="15" hidden="false" customHeight="false" outlineLevel="0" collapsed="false">
      <c r="A30" s="2" t="s">
        <v>1295</v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str">
        <f aca="false">IF(SUM(B30:F30)&gt;0,"yes","no")</f>
        <v>no</v>
      </c>
    </row>
    <row r="31" customFormat="false" ht="15" hidden="false" customHeight="false" outlineLevel="0" collapsed="false">
      <c r="A31" s="2" t="s">
        <v>1298</v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str">
        <f aca="false">IF(SUM(B31:F31)&gt;0,"yes","no")</f>
        <v>no</v>
      </c>
    </row>
    <row r="32" customFormat="false" ht="15" hidden="false" customHeight="false" outlineLevel="0" collapsed="false">
      <c r="A32" s="2" t="s">
        <v>1515</v>
      </c>
      <c r="B32" s="2" t="n">
        <v>0</v>
      </c>
      <c r="C32" s="2" t="n">
        <v>1</v>
      </c>
      <c r="D32" s="2" t="n">
        <v>0</v>
      </c>
      <c r="E32" s="2" t="n">
        <v>0</v>
      </c>
      <c r="F32" s="2" t="n">
        <v>0</v>
      </c>
      <c r="G32" s="2" t="str">
        <f aca="false">IF(SUM(B32:F32)&gt;0,"yes","no")</f>
        <v>yes</v>
      </c>
    </row>
    <row r="33" customFormat="false" ht="15" hidden="false" customHeight="false" outlineLevel="0" collapsed="false">
      <c r="A33" s="2" t="s">
        <v>1493</v>
      </c>
      <c r="B33" s="2" t="n">
        <v>0</v>
      </c>
      <c r="C33" s="2" t="n">
        <v>3</v>
      </c>
      <c r="D33" s="2" t="n">
        <v>0</v>
      </c>
      <c r="E33" s="2" t="n">
        <v>0</v>
      </c>
      <c r="F33" s="2" t="n">
        <v>0</v>
      </c>
      <c r="G33" s="2" t="str">
        <f aca="false">IF(SUM(B33:F33)&gt;0,"yes","no")</f>
        <v>yes</v>
      </c>
    </row>
    <row r="34" customFormat="false" ht="15" hidden="false" customHeight="false" outlineLevel="0" collapsed="false">
      <c r="A34" s="2" t="s">
        <v>1860</v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str">
        <f aca="false">IF(SUM(B34:F34)&gt;0,"yes","no")</f>
        <v>no</v>
      </c>
    </row>
    <row r="35" customFormat="false" ht="15" hidden="false" customHeight="false" outlineLevel="0" collapsed="false">
      <c r="A35" s="2" t="s">
        <v>1353</v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str">
        <f aca="false">IF(SUM(B35:F35)&gt;0,"yes","no")</f>
        <v>no</v>
      </c>
    </row>
    <row r="36" customFormat="false" ht="15" hidden="false" customHeight="false" outlineLevel="0" collapsed="false">
      <c r="A36" s="2" t="s">
        <v>1307</v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str">
        <f aca="false">IF(SUM(B36:F36)&gt;0,"yes","no")</f>
        <v>no</v>
      </c>
    </row>
    <row r="37" customFormat="false" ht="15" hidden="false" customHeight="false" outlineLevel="0" collapsed="false">
      <c r="A37" s="2" t="s">
        <v>2050</v>
      </c>
      <c r="B37" s="2" t="n">
        <v>0</v>
      </c>
      <c r="C37" s="2" t="n">
        <v>9</v>
      </c>
      <c r="D37" s="2" t="n">
        <v>0</v>
      </c>
      <c r="E37" s="2" t="n">
        <v>0</v>
      </c>
      <c r="F37" s="2" t="n">
        <v>0</v>
      </c>
      <c r="G37" s="2" t="str">
        <f aca="false">IF(SUM(B37:F37)&gt;0,"yes","no")</f>
        <v>yes</v>
      </c>
    </row>
    <row r="38" customFormat="false" ht="15" hidden="false" customHeight="false" outlineLevel="0" collapsed="false">
      <c r="A38" s="2" t="s">
        <v>1484</v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str">
        <f aca="false">IF(SUM(B38:F38)&gt;0,"yes","no")</f>
        <v>no</v>
      </c>
    </row>
    <row r="39" customFormat="false" ht="15" hidden="false" customHeight="false" outlineLevel="0" collapsed="false">
      <c r="A39" s="2" t="s">
        <v>1489</v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str">
        <f aca="false">IF(SUM(B39:F39)&gt;0,"yes","no")</f>
        <v>no</v>
      </c>
    </row>
    <row r="40" customFormat="false" ht="15" hidden="false" customHeight="false" outlineLevel="0" collapsed="false">
      <c r="A40" s="2" t="s">
        <v>2193</v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str">
        <f aca="false">IF(SUM(B40:F40)&gt;0,"yes","no")</f>
        <v>no</v>
      </c>
    </row>
    <row r="41" customFormat="false" ht="15" hidden="false" customHeight="false" outlineLevel="0" collapsed="false">
      <c r="A41" s="2" t="s">
        <v>1407</v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str">
        <f aca="false">IF(SUM(B41:F41)&gt;0,"yes","no")</f>
        <v>no</v>
      </c>
    </row>
    <row r="42" customFormat="false" ht="15" hidden="false" customHeight="false" outlineLevel="0" collapsed="false">
      <c r="A42" s="2" t="s">
        <v>1525</v>
      </c>
      <c r="B42" s="2" t="n">
        <v>0</v>
      </c>
      <c r="C42" s="2" t="n">
        <v>3</v>
      </c>
      <c r="D42" s="2" t="n">
        <v>0</v>
      </c>
      <c r="E42" s="2" t="n">
        <v>0</v>
      </c>
      <c r="F42" s="2" t="n">
        <v>0</v>
      </c>
      <c r="G42" s="2" t="str">
        <f aca="false">IF(SUM(B42:F42)&gt;0,"yes","no")</f>
        <v>yes</v>
      </c>
    </row>
    <row r="43" customFormat="false" ht="15" hidden="false" customHeight="false" outlineLevel="0" collapsed="false">
      <c r="A43" s="2" t="s">
        <v>2194</v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str">
        <f aca="false">IF(SUM(B43:F43)&gt;0,"yes","no")</f>
        <v>no</v>
      </c>
    </row>
    <row r="44" customFormat="false" ht="15" hidden="false" customHeight="false" outlineLevel="0" collapsed="false">
      <c r="A44" s="2" t="s">
        <v>2195</v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str">
        <f aca="false">IF(SUM(B44:F44)&gt;0,"yes","no")</f>
        <v>no</v>
      </c>
    </row>
    <row r="45" customFormat="false" ht="15" hidden="false" customHeight="false" outlineLevel="0" collapsed="false">
      <c r="A45" s="2" t="s">
        <v>1228</v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str">
        <f aca="false">IF(SUM(B45:F45)&gt;0,"yes","no")</f>
        <v>no</v>
      </c>
    </row>
    <row r="46" customFormat="false" ht="15" hidden="false" customHeight="false" outlineLevel="0" collapsed="false">
      <c r="A46" s="2" t="s">
        <v>2054</v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str">
        <f aca="false">IF(SUM(B46:F46)&gt;0,"yes","no")</f>
        <v>no</v>
      </c>
    </row>
    <row r="47" customFormat="false" ht="15" hidden="false" customHeight="false" outlineLevel="0" collapsed="false">
      <c r="A47" s="2" t="s">
        <v>1863</v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str">
        <f aca="false">IF(SUM(B47:F47)&gt;0,"yes","no")</f>
        <v>no</v>
      </c>
    </row>
    <row r="48" customFormat="false" ht="15" hidden="false" customHeight="false" outlineLevel="0" collapsed="false">
      <c r="A48" s="2" t="s">
        <v>2056</v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str">
        <f aca="false">IF(SUM(B48:F48)&gt;0,"yes","no")</f>
        <v>no</v>
      </c>
    </row>
    <row r="49" customFormat="false" ht="15" hidden="false" customHeight="false" outlineLevel="0" collapsed="false">
      <c r="A49" s="2" t="s">
        <v>1262</v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str">
        <f aca="false">IF(SUM(B49:F49)&gt;0,"yes","no")</f>
        <v>no</v>
      </c>
    </row>
    <row r="50" customFormat="false" ht="15" hidden="false" customHeight="false" outlineLevel="0" collapsed="false">
      <c r="A50" s="2" t="s">
        <v>1379</v>
      </c>
      <c r="B50" s="2" t="n">
        <v>0</v>
      </c>
      <c r="C50" s="2" t="n">
        <v>8</v>
      </c>
      <c r="D50" s="2" t="n">
        <v>0</v>
      </c>
      <c r="E50" s="2" t="n">
        <v>0</v>
      </c>
      <c r="F50" s="2" t="n">
        <v>0</v>
      </c>
      <c r="G50" s="2" t="str">
        <f aca="false">IF(SUM(B50:F50)&gt;0,"yes","no")</f>
        <v>yes</v>
      </c>
    </row>
    <row r="51" customFormat="false" ht="15" hidden="false" customHeight="false" outlineLevel="0" collapsed="false">
      <c r="A51" s="2" t="s">
        <v>1542</v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str">
        <f aca="false">IF(SUM(B51:F51)&gt;0,"yes","no")</f>
        <v>no</v>
      </c>
    </row>
    <row r="52" customFormat="false" ht="15" hidden="false" customHeight="false" outlineLevel="0" collapsed="false">
      <c r="A52" s="2" t="s">
        <v>1461</v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str">
        <f aca="false">IF(SUM(B52:F52)&gt;0,"yes","no")</f>
        <v>no</v>
      </c>
    </row>
    <row r="53" customFormat="false" ht="15" hidden="false" customHeight="false" outlineLevel="0" collapsed="false">
      <c r="A53" s="2" t="s">
        <v>1236</v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str">
        <f aca="false">IF(SUM(B53:F53)&gt;0,"yes","no")</f>
        <v>no</v>
      </c>
    </row>
    <row r="54" customFormat="false" ht="15" hidden="false" customHeight="false" outlineLevel="0" collapsed="false">
      <c r="A54" s="2" t="s">
        <v>1332</v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str">
        <f aca="false">IF(SUM(B54:F54)&gt;0,"yes","no")</f>
        <v>no</v>
      </c>
    </row>
    <row r="55" customFormat="false" ht="15" hidden="false" customHeight="false" outlineLevel="0" collapsed="false">
      <c r="A55" s="2" t="s">
        <v>1265</v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str">
        <f aca="false">IF(SUM(B55:F55)&gt;0,"yes","no")</f>
        <v>no</v>
      </c>
    </row>
    <row r="56" customFormat="false" ht="15" hidden="false" customHeight="false" outlineLevel="0" collapsed="false">
      <c r="A56" s="2" t="s">
        <v>1762</v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str">
        <f aca="false">IF(SUM(B56:F56)&gt;0,"yes","no")</f>
        <v>no</v>
      </c>
    </row>
    <row r="57" customFormat="false" ht="15" hidden="false" customHeight="false" outlineLevel="0" collapsed="false">
      <c r="A57" s="2" t="s">
        <v>2196</v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str">
        <f aca="false">IF(SUM(B57:F57)&gt;0,"yes","no")</f>
        <v>no</v>
      </c>
    </row>
    <row r="58" customFormat="false" ht="15" hidden="false" customHeight="false" outlineLevel="0" collapsed="false">
      <c r="A58" s="2" t="s">
        <v>2197</v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str">
        <f aca="false">IF(SUM(B58:F58)&gt;0,"yes","no")</f>
        <v>no</v>
      </c>
    </row>
    <row r="59" customFormat="false" ht="15" hidden="false" customHeight="false" outlineLevel="0" collapsed="false">
      <c r="A59" s="2" t="s">
        <v>2198</v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str">
        <f aca="false">IF(SUM(B59:F59)&gt;0,"yes","no")</f>
        <v>no</v>
      </c>
    </row>
    <row r="60" customFormat="false" ht="15" hidden="false" customHeight="false" outlineLevel="0" collapsed="false">
      <c r="A60" s="2" t="s">
        <v>1554</v>
      </c>
      <c r="B60" s="2" t="n">
        <v>3</v>
      </c>
      <c r="C60" s="2" t="n">
        <v>0</v>
      </c>
      <c r="D60" s="2" t="n">
        <v>0</v>
      </c>
      <c r="E60" s="2" t="n">
        <v>0</v>
      </c>
      <c r="F60" s="2" t="n">
        <v>0</v>
      </c>
      <c r="G60" s="2" t="str">
        <f aca="false">IF(SUM(B60:F60)&gt;0,"yes","no")</f>
        <v>yes</v>
      </c>
    </row>
    <row r="61" customFormat="false" ht="15" hidden="false" customHeight="false" outlineLevel="0" collapsed="false">
      <c r="A61" s="2" t="s">
        <v>1479</v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str">
        <f aca="false">IF(SUM(B61:F61)&gt;0,"yes","no")</f>
        <v>no</v>
      </c>
    </row>
    <row r="62" customFormat="false" ht="15" hidden="false" customHeight="false" outlineLevel="0" collapsed="false">
      <c r="A62" s="2" t="s">
        <v>1344</v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str">
        <f aca="false">IF(SUM(B62:F62)&gt;0,"yes","no")</f>
        <v>no</v>
      </c>
    </row>
    <row r="63" customFormat="false" ht="15" hidden="false" customHeight="false" outlineLevel="0" collapsed="false">
      <c r="A63" s="2" t="s">
        <v>1731</v>
      </c>
      <c r="B63" s="2" t="n">
        <v>0</v>
      </c>
      <c r="C63" s="2" t="n">
        <v>5</v>
      </c>
      <c r="D63" s="2" t="n">
        <v>0</v>
      </c>
      <c r="E63" s="2" t="n">
        <v>0</v>
      </c>
      <c r="F63" s="2" t="n">
        <v>0</v>
      </c>
      <c r="G63" s="2" t="str">
        <f aca="false">IF(SUM(B63:F63)&gt;0,"yes","no")</f>
        <v>yes</v>
      </c>
    </row>
    <row r="64" customFormat="false" ht="15" hidden="false" customHeight="false" outlineLevel="0" collapsed="false">
      <c r="A64" s="2" t="s">
        <v>1733</v>
      </c>
      <c r="B64" s="2" t="n">
        <v>0</v>
      </c>
      <c r="C64" s="2" t="n">
        <v>3</v>
      </c>
      <c r="D64" s="2" t="n">
        <v>0</v>
      </c>
      <c r="E64" s="2" t="n">
        <v>0</v>
      </c>
      <c r="F64" s="2" t="n">
        <v>0</v>
      </c>
      <c r="G64" s="2" t="str">
        <f aca="false">IF(SUM(B64:F64)&gt;0,"yes","no")</f>
        <v>yes</v>
      </c>
    </row>
    <row r="65" customFormat="false" ht="15" hidden="false" customHeight="false" outlineLevel="0" collapsed="false">
      <c r="A65" s="2" t="s">
        <v>1388</v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str">
        <f aca="false">IF(SUM(B65:F65)&gt;0,"yes","no")</f>
        <v>no</v>
      </c>
    </row>
    <row r="66" customFormat="false" ht="15" hidden="false" customHeight="false" outlineLevel="0" collapsed="false">
      <c r="A66" s="2" t="s">
        <v>1292</v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str">
        <f aca="false">IF(SUM(B66:F66)&gt;0,"yes","no")</f>
        <v>no</v>
      </c>
    </row>
    <row r="67" customFormat="false" ht="15" hidden="false" customHeight="false" outlineLevel="0" collapsed="false">
      <c r="A67" s="2" t="s">
        <v>1340</v>
      </c>
      <c r="B67" s="2" t="n">
        <v>0</v>
      </c>
      <c r="C67" s="2" t="n">
        <v>0</v>
      </c>
      <c r="D67" s="2" t="n">
        <v>0</v>
      </c>
      <c r="E67" s="2" t="n">
        <v>0</v>
      </c>
      <c r="F67" s="2" t="n">
        <v>0</v>
      </c>
      <c r="G67" s="2" t="str">
        <f aca="false">IF(SUM(B67:F67)&gt;0,"yes","no")</f>
        <v>no</v>
      </c>
    </row>
    <row r="68" customFormat="false" ht="15" hidden="false" customHeight="false" outlineLevel="0" collapsed="false">
      <c r="A68" s="2" t="s">
        <v>1347</v>
      </c>
      <c r="B68" s="2" t="n">
        <v>0</v>
      </c>
      <c r="C68" s="2" t="n">
        <v>0</v>
      </c>
      <c r="D68" s="2" t="n">
        <v>0</v>
      </c>
      <c r="E68" s="2" t="n">
        <v>0</v>
      </c>
      <c r="F68" s="2" t="n">
        <v>0</v>
      </c>
      <c r="G68" s="2" t="str">
        <f aca="false">IF(SUM(B68:F68)&gt;0,"yes","no")</f>
        <v>no</v>
      </c>
    </row>
    <row r="69" customFormat="false" ht="15" hidden="false" customHeight="false" outlineLevel="0" collapsed="false">
      <c r="A69" s="2" t="s">
        <v>1351</v>
      </c>
      <c r="B69" s="2" t="n">
        <v>0</v>
      </c>
      <c r="C69" s="2" t="n">
        <v>0</v>
      </c>
      <c r="D69" s="2" t="n">
        <v>0</v>
      </c>
      <c r="E69" s="2" t="n">
        <v>0</v>
      </c>
      <c r="F69" s="2" t="n">
        <v>0</v>
      </c>
      <c r="G69" s="2" t="str">
        <f aca="false">IF(SUM(B69:F69)&gt;0,"yes","no")</f>
        <v>no</v>
      </c>
    </row>
    <row r="70" customFormat="false" ht="15" hidden="false" customHeight="false" outlineLevel="0" collapsed="false">
      <c r="A70" s="2" t="s">
        <v>2199</v>
      </c>
      <c r="B70" s="2" t="n">
        <v>0</v>
      </c>
      <c r="C70" s="2" t="n">
        <v>0</v>
      </c>
      <c r="D70" s="2" t="n">
        <v>0</v>
      </c>
      <c r="E70" s="2" t="n">
        <v>0</v>
      </c>
      <c r="F70" s="2" t="n">
        <v>0</v>
      </c>
      <c r="G70" s="2" t="str">
        <f aca="false">IF(SUM(B70:F70)&gt;0,"yes","no")</f>
        <v>no</v>
      </c>
    </row>
    <row r="71" customFormat="false" ht="15" hidden="false" customHeight="false" outlineLevel="0" collapsed="false">
      <c r="A71" s="2" t="s">
        <v>1894</v>
      </c>
      <c r="B71" s="2" t="n">
        <v>0</v>
      </c>
      <c r="C71" s="2" t="n">
        <v>0</v>
      </c>
      <c r="D71" s="2" t="n">
        <v>0</v>
      </c>
      <c r="E71" s="2" t="n">
        <v>0</v>
      </c>
      <c r="F71" s="2" t="n">
        <v>0</v>
      </c>
      <c r="G71" s="2" t="str">
        <f aca="false">IF(SUM(B71:F71)&gt;0,"yes","no")</f>
        <v>no</v>
      </c>
    </row>
    <row r="72" customFormat="false" ht="15" hidden="false" customHeight="false" outlineLevel="0" collapsed="false">
      <c r="A72" s="2" t="s">
        <v>1373</v>
      </c>
      <c r="B72" s="2" t="n">
        <v>0</v>
      </c>
      <c r="C72" s="2" t="n">
        <v>0</v>
      </c>
      <c r="D72" s="2" t="n">
        <v>0</v>
      </c>
      <c r="E72" s="2" t="n">
        <v>0</v>
      </c>
      <c r="F72" s="2" t="n">
        <v>0</v>
      </c>
      <c r="G72" s="2" t="str">
        <f aca="false">IF(SUM(B72:F72)&gt;0,"yes","no")</f>
        <v>no</v>
      </c>
    </row>
    <row r="73" customFormat="false" ht="15" hidden="false" customHeight="false" outlineLevel="0" collapsed="false">
      <c r="A73" s="2" t="s">
        <v>1239</v>
      </c>
      <c r="B73" s="2" t="n">
        <v>0</v>
      </c>
      <c r="C73" s="2" t="n">
        <v>0</v>
      </c>
      <c r="D73" s="2" t="n">
        <v>0</v>
      </c>
      <c r="E73" s="2" t="n">
        <v>0</v>
      </c>
      <c r="F73" s="2" t="n">
        <v>0</v>
      </c>
      <c r="G73" s="2" t="str">
        <f aca="false">IF(SUM(B73:F73)&gt;0,"yes","no")</f>
        <v>no</v>
      </c>
    </row>
    <row r="74" customFormat="false" ht="15" hidden="false" customHeight="false" outlineLevel="0" collapsed="false">
      <c r="A74" s="2" t="s">
        <v>1384</v>
      </c>
      <c r="B74" s="2" t="n">
        <v>0</v>
      </c>
      <c r="C74" s="2" t="n">
        <v>0</v>
      </c>
      <c r="D74" s="2" t="n">
        <v>0</v>
      </c>
      <c r="E74" s="2" t="n">
        <v>0</v>
      </c>
      <c r="F74" s="2" t="n">
        <v>0</v>
      </c>
      <c r="G74" s="2" t="str">
        <f aca="false">IF(SUM(B74:F74)&gt;0,"yes","no")</f>
        <v>no</v>
      </c>
    </row>
    <row r="75" customFormat="false" ht="15" hidden="false" customHeight="false" outlineLevel="0" collapsed="false">
      <c r="A75" s="2" t="s">
        <v>1512</v>
      </c>
      <c r="B75" s="2" t="n">
        <v>0</v>
      </c>
      <c r="C75" s="2" t="n">
        <v>4</v>
      </c>
      <c r="D75" s="2" t="n">
        <v>0</v>
      </c>
      <c r="E75" s="2" t="n">
        <v>0</v>
      </c>
      <c r="F75" s="2" t="n">
        <v>0</v>
      </c>
      <c r="G75" s="2" t="str">
        <f aca="false">IF(SUM(B75:F75)&gt;0,"yes","no")</f>
        <v>yes</v>
      </c>
    </row>
    <row r="76" customFormat="false" ht="15" hidden="false" customHeight="false" outlineLevel="0" collapsed="false">
      <c r="A76" s="2" t="s">
        <v>1534</v>
      </c>
      <c r="B76" s="2" t="n">
        <v>0</v>
      </c>
      <c r="C76" s="2" t="n">
        <v>4</v>
      </c>
      <c r="D76" s="2" t="n">
        <v>0</v>
      </c>
      <c r="E76" s="2" t="n">
        <v>0</v>
      </c>
      <c r="F76" s="2" t="n">
        <v>0</v>
      </c>
      <c r="G76" s="2" t="str">
        <f aca="false">IF(SUM(B76:F76)&gt;0,"yes","no")</f>
        <v>yes</v>
      </c>
    </row>
    <row r="77" customFormat="false" ht="15" hidden="false" customHeight="false" outlineLevel="0" collapsed="false">
      <c r="A77" s="2" t="s">
        <v>1520</v>
      </c>
      <c r="B77" s="2" t="n">
        <v>0</v>
      </c>
      <c r="C77" s="2" t="n">
        <v>8</v>
      </c>
      <c r="D77" s="2" t="n">
        <v>0</v>
      </c>
      <c r="E77" s="2" t="n">
        <v>0</v>
      </c>
      <c r="F77" s="2" t="n">
        <v>0</v>
      </c>
      <c r="G77" s="2" t="str">
        <f aca="false">IF(SUM(B77:F77)&gt;0,"yes","no")</f>
        <v>yes</v>
      </c>
    </row>
    <row r="78" customFormat="false" ht="15" hidden="false" customHeight="false" outlineLevel="0" collapsed="false">
      <c r="A78" s="2" t="s">
        <v>1447</v>
      </c>
      <c r="B78" s="2" t="n">
        <v>0</v>
      </c>
      <c r="C78" s="2" t="n">
        <v>3</v>
      </c>
      <c r="D78" s="2" t="n">
        <v>0</v>
      </c>
      <c r="E78" s="2" t="n">
        <v>0</v>
      </c>
      <c r="F78" s="2" t="n">
        <v>0</v>
      </c>
      <c r="G78" s="2" t="str">
        <f aca="false">IF(SUM(B78:F78)&gt;0,"yes","no")</f>
        <v>yes</v>
      </c>
    </row>
    <row r="79" customFormat="false" ht="15" hidden="false" customHeight="false" outlineLevel="0" collapsed="false">
      <c r="A79" s="2" t="s">
        <v>2071</v>
      </c>
      <c r="B79" s="2" t="n">
        <v>0</v>
      </c>
      <c r="C79" s="2" t="n">
        <v>0</v>
      </c>
      <c r="D79" s="2" t="n">
        <v>0</v>
      </c>
      <c r="E79" s="2" t="n">
        <v>0</v>
      </c>
      <c r="F79" s="2" t="n">
        <v>0</v>
      </c>
      <c r="G79" s="2" t="str">
        <f aca="false">IF(SUM(B79:F79)&gt;0,"yes","no")</f>
        <v>no</v>
      </c>
    </row>
    <row r="80" customFormat="false" ht="15" hidden="false" customHeight="false" outlineLevel="0" collapsed="false">
      <c r="A80" s="2" t="s">
        <v>2200</v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str">
        <f aca="false">IF(SUM(B80:F80)&gt;0,"yes","no")</f>
        <v>no</v>
      </c>
    </row>
    <row r="81" customFormat="false" ht="15" hidden="false" customHeight="false" outlineLevel="0" collapsed="false">
      <c r="A81" s="2" t="s">
        <v>1550</v>
      </c>
      <c r="B81" s="2" t="n">
        <v>3</v>
      </c>
      <c r="C81" s="2" t="n">
        <v>0</v>
      </c>
      <c r="D81" s="2" t="n">
        <v>0</v>
      </c>
      <c r="E81" s="2" t="n">
        <v>0</v>
      </c>
      <c r="F81" s="2" t="n">
        <v>0</v>
      </c>
      <c r="G81" s="2" t="str">
        <f aca="false">IF(SUM(B81:F81)&gt;0,"yes","no")</f>
        <v>yes</v>
      </c>
    </row>
    <row r="82" customFormat="false" ht="15" hidden="false" customHeight="false" outlineLevel="0" collapsed="false">
      <c r="A82" s="2" t="s">
        <v>1422</v>
      </c>
      <c r="B82" s="2" t="n">
        <v>0</v>
      </c>
      <c r="C82" s="2" t="n">
        <v>0</v>
      </c>
      <c r="D82" s="2" t="n">
        <v>0</v>
      </c>
      <c r="E82" s="2" t="n">
        <v>0</v>
      </c>
      <c r="F82" s="2" t="n">
        <v>0</v>
      </c>
      <c r="G82" s="2" t="str">
        <f aca="false">IF(SUM(B82:F82)&gt;0,"yes","no")</f>
        <v>no</v>
      </c>
    </row>
    <row r="83" customFormat="false" ht="15" hidden="false" customHeight="false" outlineLevel="0" collapsed="false">
      <c r="A83" s="2" t="s">
        <v>1364</v>
      </c>
      <c r="B83" s="2" t="n">
        <v>0</v>
      </c>
      <c r="C83" s="2" t="n">
        <v>0</v>
      </c>
      <c r="D83" s="2" t="n">
        <v>0</v>
      </c>
      <c r="E83" s="2" t="n">
        <v>0</v>
      </c>
      <c r="F83" s="2" t="n">
        <v>0</v>
      </c>
      <c r="G83" s="2" t="str">
        <f aca="false">IF(SUM(B83:F83)&gt;0,"yes","no")</f>
        <v>no</v>
      </c>
    </row>
    <row r="84" customFormat="false" ht="15" hidden="false" customHeight="false" outlineLevel="0" collapsed="false">
      <c r="A84" s="2" t="s">
        <v>2201</v>
      </c>
      <c r="B84" s="2" t="n">
        <v>1</v>
      </c>
      <c r="C84" s="2" t="n">
        <v>0</v>
      </c>
      <c r="D84" s="2" t="n">
        <v>0</v>
      </c>
      <c r="E84" s="2" t="n">
        <v>0</v>
      </c>
      <c r="F84" s="2" t="n">
        <v>0</v>
      </c>
      <c r="G84" s="2" t="str">
        <f aca="false">IF(SUM(B84:F84)&gt;0,"yes","no")</f>
        <v>yes</v>
      </c>
    </row>
    <row r="85" customFormat="false" ht="15" hidden="false" customHeight="false" outlineLevel="0" collapsed="false">
      <c r="A85" s="2" t="s">
        <v>1259</v>
      </c>
      <c r="B85" s="2" t="n">
        <v>0</v>
      </c>
      <c r="C85" s="2" t="n">
        <v>0</v>
      </c>
      <c r="D85" s="2" t="n">
        <v>0</v>
      </c>
      <c r="E85" s="2" t="n">
        <v>0</v>
      </c>
      <c r="F85" s="2" t="n">
        <v>0</v>
      </c>
      <c r="G85" s="2" t="str">
        <f aca="false">IF(SUM(B85:F85)&gt;0,"yes","no")</f>
        <v>no</v>
      </c>
    </row>
    <row r="86" customFormat="false" ht="15" hidden="false" customHeight="false" outlineLevel="0" collapsed="false">
      <c r="A86" s="2" t="s">
        <v>1413</v>
      </c>
      <c r="B86" s="2" t="n">
        <v>0</v>
      </c>
      <c r="C86" s="2" t="n">
        <v>0</v>
      </c>
      <c r="D86" s="2" t="n">
        <v>0</v>
      </c>
      <c r="E86" s="2" t="n">
        <v>0</v>
      </c>
      <c r="F86" s="2" t="n">
        <v>0</v>
      </c>
      <c r="G86" s="2" t="str">
        <f aca="false">IF(SUM(B86:F86)&gt;0,"yes","no")</f>
        <v>no</v>
      </c>
    </row>
    <row r="87" customFormat="false" ht="15" hidden="false" customHeight="false" outlineLevel="0" collapsed="false">
      <c r="A87" s="2" t="s">
        <v>1361</v>
      </c>
      <c r="B87" s="2" t="n">
        <v>0</v>
      </c>
      <c r="C87" s="2" t="n">
        <v>0</v>
      </c>
      <c r="D87" s="2" t="n">
        <v>0</v>
      </c>
      <c r="E87" s="2" t="n">
        <v>0</v>
      </c>
      <c r="F87" s="2" t="n">
        <v>0</v>
      </c>
      <c r="G87" s="2" t="str">
        <f aca="false">IF(SUM(B87:F87)&gt;0,"yes","no")</f>
        <v>no</v>
      </c>
    </row>
    <row r="88" customFormat="false" ht="15" hidden="false" customHeight="false" outlineLevel="0" collapsed="false">
      <c r="A88" s="2" t="s">
        <v>1872</v>
      </c>
      <c r="B88" s="2" t="n">
        <v>0</v>
      </c>
      <c r="C88" s="2" t="n">
        <v>0</v>
      </c>
      <c r="D88" s="2" t="n">
        <v>0</v>
      </c>
      <c r="E88" s="2" t="n">
        <v>0</v>
      </c>
      <c r="F88" s="2" t="n">
        <v>0</v>
      </c>
      <c r="G88" s="2" t="str">
        <f aca="false">IF(SUM(B88:F88)&gt;0,"yes","no")</f>
        <v>no</v>
      </c>
    </row>
    <row r="89" customFormat="false" ht="15" hidden="false" customHeight="false" outlineLevel="0" collapsed="false">
      <c r="A89" s="2" t="s">
        <v>2202</v>
      </c>
      <c r="B89" s="2" t="n">
        <v>0</v>
      </c>
      <c r="C89" s="2" t="n">
        <v>0</v>
      </c>
      <c r="D89" s="2" t="n">
        <v>0</v>
      </c>
      <c r="E89" s="2" t="n">
        <v>0</v>
      </c>
      <c r="F89" s="2" t="n">
        <v>0</v>
      </c>
      <c r="G89" s="2" t="str">
        <f aca="false">IF(SUM(B89:F89)&gt;0,"yes","no")</f>
        <v>no</v>
      </c>
    </row>
    <row r="90" customFormat="false" ht="15" hidden="false" customHeight="false" outlineLevel="0" collapsed="false">
      <c r="A90" s="2" t="s">
        <v>1436</v>
      </c>
      <c r="B90" s="2" t="n">
        <v>0</v>
      </c>
      <c r="C90" s="2" t="n">
        <v>0</v>
      </c>
      <c r="D90" s="2" t="n">
        <v>0</v>
      </c>
      <c r="E90" s="2" t="n">
        <v>0</v>
      </c>
      <c r="F90" s="2" t="n">
        <v>0</v>
      </c>
      <c r="G90" s="2" t="str">
        <f aca="false">IF(SUM(B90:F90)&gt;0,"yes","no")</f>
        <v>no</v>
      </c>
    </row>
    <row r="91" customFormat="false" ht="15" hidden="false" customHeight="false" outlineLevel="0" collapsed="false">
      <c r="A91" s="2" t="s">
        <v>1443</v>
      </c>
      <c r="B91" s="2" t="n">
        <v>0</v>
      </c>
      <c r="C91" s="2" t="n">
        <v>0</v>
      </c>
      <c r="D91" s="2" t="n">
        <v>0</v>
      </c>
      <c r="E91" s="2" t="n">
        <v>0</v>
      </c>
      <c r="F91" s="2" t="n">
        <v>0</v>
      </c>
      <c r="G91" s="2" t="str">
        <f aca="false">IF(SUM(B91:F91)&gt;0,"yes","no")</f>
        <v>no</v>
      </c>
    </row>
    <row r="92" customFormat="false" ht="15" hidden="false" customHeight="false" outlineLevel="0" collapsed="false">
      <c r="A92" s="2" t="s">
        <v>1316</v>
      </c>
      <c r="B92" s="2" t="n">
        <v>0</v>
      </c>
      <c r="C92" s="2" t="n">
        <v>0</v>
      </c>
      <c r="D92" s="2" t="n">
        <v>0</v>
      </c>
      <c r="E92" s="2" t="n">
        <v>0</v>
      </c>
      <c r="F92" s="2" t="n">
        <v>0</v>
      </c>
      <c r="G92" s="2" t="str">
        <f aca="false">IF(SUM(B92:F92)&gt;0,"yes","no")</f>
        <v>no</v>
      </c>
    </row>
    <row r="93" customFormat="false" ht="15" hidden="false" customHeight="false" outlineLevel="0" collapsed="false">
      <c r="A93" s="2" t="s">
        <v>1248</v>
      </c>
      <c r="B93" s="2" t="n">
        <v>0</v>
      </c>
      <c r="C93" s="2" t="n">
        <v>0</v>
      </c>
      <c r="D93" s="2" t="n">
        <v>0</v>
      </c>
      <c r="E93" s="2" t="n">
        <v>0</v>
      </c>
      <c r="F93" s="2" t="n">
        <v>0</v>
      </c>
      <c r="G93" s="2" t="str">
        <f aca="false">IF(SUM(B93:F93)&gt;0,"yes","no")</f>
        <v>no</v>
      </c>
    </row>
    <row r="94" customFormat="false" ht="15" hidden="false" customHeight="false" outlineLevel="0" collapsed="false">
      <c r="A94" s="2" t="s">
        <v>1256</v>
      </c>
      <c r="B94" s="2" t="n">
        <v>0</v>
      </c>
      <c r="C94" s="2" t="n">
        <v>0</v>
      </c>
      <c r="D94" s="2" t="n">
        <v>0</v>
      </c>
      <c r="E94" s="2" t="n">
        <v>0</v>
      </c>
      <c r="F94" s="2" t="n">
        <v>0</v>
      </c>
      <c r="G94" s="2" t="str">
        <f aca="false">IF(SUM(B94:F94)&gt;0,"yes","no")</f>
        <v>no</v>
      </c>
    </row>
    <row r="95" customFormat="false" ht="15" hidden="false" customHeight="false" outlineLevel="0" collapsed="false">
      <c r="A95" s="2" t="s">
        <v>1475</v>
      </c>
      <c r="B95" s="2" t="n">
        <v>0</v>
      </c>
      <c r="C95" s="2" t="n">
        <v>0</v>
      </c>
      <c r="D95" s="2" t="n">
        <v>0</v>
      </c>
      <c r="E95" s="2" t="n">
        <v>0</v>
      </c>
      <c r="F95" s="2" t="n">
        <v>0</v>
      </c>
      <c r="G95" s="2" t="str">
        <f aca="false">IF(SUM(B95:F95)&gt;0,"yes","no")</f>
        <v>no</v>
      </c>
    </row>
    <row r="96" customFormat="false" ht="15" hidden="false" customHeight="false" outlineLevel="0" collapsed="false">
      <c r="A96" s="2" t="s">
        <v>1375</v>
      </c>
      <c r="B96" s="2" t="n">
        <v>0</v>
      </c>
      <c r="C96" s="2" t="n">
        <v>0</v>
      </c>
      <c r="D96" s="2" t="n">
        <v>0</v>
      </c>
      <c r="E96" s="2" t="n">
        <v>0</v>
      </c>
      <c r="F96" s="2" t="n">
        <v>0</v>
      </c>
      <c r="G96" s="2" t="str">
        <f aca="false">IF(SUM(B96:F96)&gt;0,"yes","no")</f>
        <v>no</v>
      </c>
    </row>
    <row r="97" customFormat="false" ht="15" hidden="false" customHeight="false" outlineLevel="0" collapsed="false">
      <c r="A97" s="2" t="s">
        <v>1538</v>
      </c>
      <c r="B97" s="2" t="n">
        <v>0</v>
      </c>
      <c r="C97" s="2" t="n">
        <v>0</v>
      </c>
      <c r="D97" s="2" t="n">
        <v>0</v>
      </c>
      <c r="E97" s="2" t="n">
        <v>0</v>
      </c>
      <c r="F97" s="2" t="n">
        <v>0</v>
      </c>
      <c r="G97" s="2" t="str">
        <f aca="false">IF(SUM(B97:F97)&gt;0,"yes","no")</f>
        <v>no</v>
      </c>
    </row>
    <row r="98" customFormat="false" ht="15" hidden="false" customHeight="false" outlineLevel="0" collapsed="false">
      <c r="A98" s="2" t="s">
        <v>2203</v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str">
        <f aca="false">IF(SUM(B98:F98)&gt;0,"yes","no")</f>
        <v>no</v>
      </c>
    </row>
    <row r="99" customFormat="false" ht="15" hidden="false" customHeight="false" outlineLevel="0" collapsed="false">
      <c r="A99" s="2" t="s">
        <v>2204</v>
      </c>
      <c r="B99" s="2" t="n">
        <v>0</v>
      </c>
      <c r="C99" s="2" t="n">
        <v>4</v>
      </c>
      <c r="D99" s="2" t="n">
        <v>0</v>
      </c>
      <c r="E99" s="2" t="n">
        <v>0</v>
      </c>
      <c r="F99" s="2" t="n">
        <v>0</v>
      </c>
      <c r="G99" s="2" t="str">
        <f aca="false">IF(SUM(B99:F99)&gt;0,"yes","no")</f>
        <v>yes</v>
      </c>
    </row>
    <row r="100" customFormat="false" ht="15" hidden="false" customHeight="false" outlineLevel="0" collapsed="false">
      <c r="A100" s="2" t="s">
        <v>1546</v>
      </c>
      <c r="B100" s="2" t="n">
        <v>0</v>
      </c>
      <c r="C100" s="2" t="n">
        <v>8</v>
      </c>
      <c r="D100" s="2" t="n">
        <v>0</v>
      </c>
      <c r="E100" s="2" t="n">
        <v>0</v>
      </c>
      <c r="F100" s="2" t="n">
        <v>0</v>
      </c>
      <c r="G100" s="2" t="str">
        <f aca="false">IF(SUM(B100:F100)&gt;0,"yes","no")</f>
        <v>yes</v>
      </c>
    </row>
    <row r="101" customFormat="false" ht="15" hidden="false" customHeight="false" outlineLevel="0" collapsed="false">
      <c r="A101" s="2" t="s">
        <v>1876</v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str">
        <f aca="false">IF(SUM(B101:F101)&gt;0,"yes","no")</f>
        <v>no</v>
      </c>
    </row>
    <row r="102" customFormat="false" ht="15" hidden="false" customHeight="false" outlineLevel="0" collapsed="false">
      <c r="A102" s="2" t="s">
        <v>2205</v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str">
        <f aca="false">IF(SUM(B102:F102)&gt;0,"yes","no")</f>
        <v>no</v>
      </c>
    </row>
    <row r="103" customFormat="false" ht="15" hidden="false" customHeight="false" outlineLevel="0" collapsed="false">
      <c r="A103" s="2" t="s">
        <v>2206</v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str">
        <f aca="false">IF(SUM(B103:F103)&gt;0,"yes","no")</f>
        <v>no</v>
      </c>
    </row>
    <row r="104" customFormat="false" ht="15" hidden="false" customHeight="false" outlineLevel="0" collapsed="false">
      <c r="A104" s="2" t="s">
        <v>2207</v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str">
        <f aca="false">IF(SUM(B104:F104)&gt;0,"yes","no")</f>
        <v>no</v>
      </c>
    </row>
    <row r="105" customFormat="false" ht="15" hidden="false" customHeight="false" outlineLevel="0" collapsed="false">
      <c r="A105" s="2" t="s">
        <v>2074</v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str">
        <f aca="false">IF(SUM(B105:F105)&gt;0,"yes","no")</f>
        <v>no</v>
      </c>
    </row>
    <row r="106" customFormat="false" ht="15" hidden="false" customHeight="false" outlineLevel="0" collapsed="false">
      <c r="A106" s="2" t="s">
        <v>2208</v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str">
        <f aca="false">IF(SUM(B106:F106)&gt;0,"yes","no")</f>
        <v>no</v>
      </c>
    </row>
    <row r="107" customFormat="false" ht="15" hidden="false" customHeight="false" outlineLevel="0" collapsed="false">
      <c r="A107" s="2" t="s">
        <v>2209</v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str">
        <f aca="false">IF(SUM(B107:F107)&gt;0,"yes","no")</f>
        <v>no</v>
      </c>
    </row>
    <row r="108" customFormat="false" ht="15" hidden="false" customHeight="false" outlineLevel="0" collapsed="false">
      <c r="A108" s="2" t="s">
        <v>1329</v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str">
        <f aca="false">IF(SUM(B108:F108)&gt;0,"yes","no")</f>
        <v>no</v>
      </c>
    </row>
    <row r="109" customFormat="false" ht="15" hidden="false" customHeight="false" outlineLevel="0" collapsed="false">
      <c r="A109" s="2" t="s">
        <v>1452</v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str">
        <f aca="false">IF(SUM(B109:F109)&gt;0,"yes","no")</f>
        <v>no</v>
      </c>
    </row>
    <row r="110" customFormat="false" ht="15" hidden="false" customHeight="false" outlineLevel="0" collapsed="false">
      <c r="A110" s="2" t="s">
        <v>1454</v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str">
        <f aca="false">IF(SUM(B110:F110)&gt;0,"yes","no")</f>
        <v>no</v>
      </c>
    </row>
    <row r="111" customFormat="false" ht="15" hidden="false" customHeight="false" outlineLevel="0" collapsed="false">
      <c r="A111" s="2" t="s">
        <v>1312</v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str">
        <f aca="false">IF(SUM(B111:F111)&gt;0,"yes","no")</f>
        <v>no</v>
      </c>
    </row>
    <row r="112" customFormat="false" ht="15" hidden="false" customHeight="false" outlineLevel="0" collapsed="false">
      <c r="A112" s="2" t="s">
        <v>1879</v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str">
        <f aca="false">IF(SUM(B112:F112)&gt;0,"yes","no")</f>
        <v>no</v>
      </c>
    </row>
    <row r="113" customFormat="false" ht="15" hidden="false" customHeight="false" outlineLevel="0" collapsed="false">
      <c r="A113" s="2" t="s">
        <v>2210</v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str">
        <f aca="false">IF(SUM(B113:F113)&gt;0,"yes","no")</f>
        <v>no</v>
      </c>
    </row>
    <row r="114" customFormat="false" ht="15" hidden="false" customHeight="false" outlineLevel="0" collapsed="false">
      <c r="A114" s="2" t="s">
        <v>1530</v>
      </c>
      <c r="B114" s="2" t="n">
        <v>0</v>
      </c>
      <c r="C114" s="2" t="n">
        <v>4</v>
      </c>
      <c r="D114" s="2" t="n">
        <v>0</v>
      </c>
      <c r="E114" s="2" t="n">
        <v>0</v>
      </c>
      <c r="F114" s="2" t="n">
        <v>0</v>
      </c>
      <c r="G114" s="2" t="str">
        <f aca="false">IF(SUM(B114:F114)&gt;0,"yes","no")</f>
        <v>yes</v>
      </c>
    </row>
    <row r="115" customFormat="false" ht="15" hidden="false" customHeight="false" outlineLevel="0" collapsed="false">
      <c r="A115" s="2" t="s">
        <v>2211</v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str">
        <f aca="false">IF(SUM(B115:F115)&gt;0,"yes","no")</f>
        <v>no</v>
      </c>
    </row>
    <row r="116" customFormat="false" ht="15" hidden="false" customHeight="false" outlineLevel="0" collapsed="false">
      <c r="A116" s="2" t="s">
        <v>2212</v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str">
        <f aca="false">IF(SUM(B116:F116)&gt;0,"yes","no")</f>
        <v>no</v>
      </c>
    </row>
    <row r="117" customFormat="false" ht="15" hidden="false" customHeight="false" outlineLevel="0" collapsed="false">
      <c r="A117" s="2" t="s">
        <v>1502</v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str">
        <f aca="false">IF(SUM(B117:F117)&gt;0,"yes","no")</f>
        <v>no</v>
      </c>
    </row>
    <row r="118" customFormat="false" ht="15" hidden="false" customHeight="false" outlineLevel="0" collapsed="false">
      <c r="A118" s="2" t="s">
        <v>2213</v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str">
        <f aca="false">IF(SUM(B118:F118)&gt;0,"yes","no")</f>
        <v>no</v>
      </c>
    </row>
    <row r="119" customFormat="false" ht="15" hidden="false" customHeight="false" outlineLevel="0" collapsed="false">
      <c r="A119" s="2" t="s">
        <v>2214</v>
      </c>
      <c r="B119" s="2" t="n">
        <v>0</v>
      </c>
      <c r="C119" s="2" t="n">
        <v>0</v>
      </c>
      <c r="D119" s="2" t="n">
        <v>0</v>
      </c>
      <c r="E119" s="2" t="n">
        <v>0</v>
      </c>
      <c r="F119" s="2" t="n">
        <v>0</v>
      </c>
      <c r="G119" s="2" t="str">
        <f aca="false">IF(SUM(B119:F119)&gt;0,"yes","no")</f>
        <v>no</v>
      </c>
    </row>
    <row r="120" customFormat="false" ht="15" hidden="false" customHeight="false" outlineLevel="0" collapsed="false">
      <c r="A120" s="2" t="s">
        <v>2215</v>
      </c>
      <c r="B120" s="2" t="n">
        <v>0</v>
      </c>
      <c r="C120" s="2" t="n">
        <v>0</v>
      </c>
      <c r="D120" s="2" t="n">
        <v>0</v>
      </c>
      <c r="E120" s="2" t="n">
        <v>0</v>
      </c>
      <c r="F120" s="2" t="n">
        <v>0</v>
      </c>
      <c r="G120" s="2" t="str">
        <f aca="false">IF(SUM(B120:F120)&gt;0,"yes","no")</f>
        <v>no</v>
      </c>
    </row>
    <row r="121" customFormat="false" ht="15" hidden="false" customHeight="false" outlineLevel="0" collapsed="false">
      <c r="A121" s="2" t="s">
        <v>2216</v>
      </c>
      <c r="B121" s="2" t="n">
        <v>0</v>
      </c>
      <c r="C121" s="2" t="n">
        <v>0</v>
      </c>
      <c r="D121" s="2" t="n">
        <v>0</v>
      </c>
      <c r="E121" s="2" t="n">
        <v>0</v>
      </c>
      <c r="F121" s="2" t="n">
        <v>0</v>
      </c>
      <c r="G121" s="2" t="str">
        <f aca="false">IF(SUM(B121:F121)&gt;0,"yes","no")</f>
        <v>no</v>
      </c>
    </row>
    <row r="122" customFormat="false" ht="15" hidden="false" customHeight="false" outlineLevel="0" collapsed="false">
      <c r="A122" s="2" t="s">
        <v>2217</v>
      </c>
      <c r="B122" s="2" t="n">
        <v>0</v>
      </c>
      <c r="C122" s="2" t="n">
        <v>0</v>
      </c>
      <c r="D122" s="2" t="n">
        <v>0</v>
      </c>
      <c r="E122" s="2" t="n">
        <v>0</v>
      </c>
      <c r="F122" s="2" t="n">
        <v>0</v>
      </c>
      <c r="G122" s="2" t="str">
        <f aca="false">IF(SUM(B122:F122)&gt;0,"yes","no")</f>
        <v>no</v>
      </c>
    </row>
    <row r="123" customFormat="false" ht="15" hidden="false" customHeight="false" outlineLevel="0" collapsed="false">
      <c r="A123" s="2" t="s">
        <v>2218</v>
      </c>
      <c r="B123" s="2" t="n">
        <v>0</v>
      </c>
      <c r="C123" s="2" t="n">
        <v>0</v>
      </c>
      <c r="D123" s="2" t="n">
        <v>0</v>
      </c>
      <c r="E123" s="2" t="n">
        <v>0</v>
      </c>
      <c r="F123" s="2" t="n">
        <v>0</v>
      </c>
      <c r="G123" s="2" t="str">
        <f aca="false">IF(SUM(B123:F123)&gt;0,"yes","no")</f>
        <v>no</v>
      </c>
    </row>
    <row r="124" customFormat="false" ht="15" hidden="false" customHeight="false" outlineLevel="0" collapsed="false">
      <c r="A124" s="2" t="s">
        <v>2076</v>
      </c>
      <c r="B124" s="2" t="n">
        <v>0</v>
      </c>
      <c r="C124" s="2" t="n">
        <v>0</v>
      </c>
      <c r="D124" s="2" t="n">
        <v>0</v>
      </c>
      <c r="E124" s="2" t="n">
        <v>0</v>
      </c>
      <c r="F124" s="2" t="n">
        <v>0</v>
      </c>
      <c r="G124" s="2" t="str">
        <f aca="false">IF(SUM(B124:F124)&gt;0,"yes","no")</f>
        <v>no</v>
      </c>
    </row>
    <row r="125" customFormat="false" ht="15" hidden="false" customHeight="false" outlineLevel="0" collapsed="false">
      <c r="A125" s="2" t="s">
        <v>2219</v>
      </c>
      <c r="B125" s="2" t="n">
        <v>0</v>
      </c>
      <c r="C125" s="2" t="n">
        <v>0</v>
      </c>
      <c r="D125" s="2" t="n">
        <v>0</v>
      </c>
      <c r="E125" s="2" t="n">
        <v>0</v>
      </c>
      <c r="F125" s="2" t="n">
        <v>0</v>
      </c>
      <c r="G125" s="2" t="str">
        <f aca="false">IF(SUM(B125:F125)&gt;0,"yes","no")</f>
        <v>no</v>
      </c>
    </row>
    <row r="126" customFormat="false" ht="15" hidden="false" customHeight="false" outlineLevel="0" collapsed="false">
      <c r="A126" s="2" t="s">
        <v>1321</v>
      </c>
      <c r="B126" s="2" t="n">
        <v>0</v>
      </c>
      <c r="C126" s="2" t="n">
        <v>0</v>
      </c>
      <c r="D126" s="2" t="n">
        <v>0</v>
      </c>
      <c r="E126" s="2" t="n">
        <v>0</v>
      </c>
      <c r="F126" s="2" t="n">
        <v>0</v>
      </c>
      <c r="G126" s="2" t="str">
        <f aca="false">IF(SUM(B126:F126)&gt;0,"yes","no")</f>
        <v>no</v>
      </c>
    </row>
    <row r="127" customFormat="false" ht="15" hidden="false" customHeight="false" outlineLevel="0" collapsed="false">
      <c r="A127" s="2" t="s">
        <v>1803</v>
      </c>
      <c r="B127" s="2" t="n">
        <v>1</v>
      </c>
      <c r="C127" s="2" t="n">
        <v>1</v>
      </c>
      <c r="D127" s="2" t="n">
        <v>0</v>
      </c>
      <c r="E127" s="2" t="n">
        <v>0</v>
      </c>
      <c r="F127" s="2" t="n">
        <v>0</v>
      </c>
      <c r="G127" s="2" t="str">
        <f aca="false">IF(SUM(B127:F127)&gt;0,"yes","no")</f>
        <v>yes</v>
      </c>
    </row>
    <row r="128" customFormat="false" ht="23.85" hidden="false" customHeight="false" outlineLevel="0" collapsed="false">
      <c r="A128" s="2" t="s">
        <v>1127</v>
      </c>
      <c r="B128" s="2" t="n">
        <f aca="false">SUM(B2:B127)</f>
        <v>9</v>
      </c>
      <c r="C128" s="2" t="n">
        <f aca="false">SUM(C2:C127)</f>
        <v>77</v>
      </c>
      <c r="D128" s="2" t="n">
        <f aca="false">SUM(D2:D127)</f>
        <v>0</v>
      </c>
      <c r="E128" s="2" t="n">
        <f aca="false">SUM(E2:E127)</f>
        <v>0</v>
      </c>
      <c r="F128" s="2" t="n">
        <f aca="false">SUM(F2:F127)</f>
        <v>0</v>
      </c>
      <c r="G128" s="2" t="str">
        <f aca="false">COUNTIF(G2:G127,"no")&amp;" files none"</f>
        <v>105 files none</v>
      </c>
    </row>
  </sheetData>
  <autoFilter ref="A1:G1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5" min="4" style="0" width="30"/>
  </cols>
  <sheetData>
    <row r="1" customFormat="false" ht="15" hidden="false" customHeight="false" outlineLevel="0" collapsed="false">
      <c r="A1" s="3" t="s">
        <v>2220</v>
      </c>
      <c r="B1" s="3" t="s">
        <v>1556</v>
      </c>
      <c r="C1" s="3" t="s">
        <v>2221</v>
      </c>
      <c r="D1" s="3" t="s">
        <v>2222</v>
      </c>
      <c r="E1" s="3" t="s">
        <v>9</v>
      </c>
    </row>
    <row r="2" customFormat="false" ht="15" hidden="false" customHeight="false" outlineLevel="0" collapsed="false">
      <c r="A2" s="2" t="s">
        <v>2223</v>
      </c>
      <c r="B2" s="2" t="s">
        <v>2224</v>
      </c>
      <c r="C2" s="2" t="s">
        <v>1813</v>
      </c>
      <c r="D2" s="2" t="s">
        <v>2225</v>
      </c>
      <c r="E2" s="2" t="s">
        <v>2226</v>
      </c>
    </row>
    <row r="3" customFormat="false" ht="35.05" hidden="false" customHeight="false" outlineLevel="0" collapsed="false">
      <c r="A3" s="2" t="s">
        <v>2227</v>
      </c>
      <c r="B3" s="2" t="s">
        <v>2228</v>
      </c>
      <c r="C3" s="2" t="s">
        <v>2146</v>
      </c>
      <c r="D3" s="2" t="s">
        <v>2229</v>
      </c>
      <c r="E3" s="2" t="s">
        <v>2226</v>
      </c>
    </row>
    <row r="4" customFormat="false" ht="35.05" hidden="false" customHeight="false" outlineLevel="0" collapsed="false">
      <c r="A4" s="2" t="s">
        <v>2230</v>
      </c>
      <c r="B4" s="2" t="s">
        <v>2228</v>
      </c>
      <c r="C4" s="2" t="s">
        <v>2146</v>
      </c>
      <c r="D4" s="2" t="s">
        <v>2229</v>
      </c>
      <c r="E4" s="2" t="s">
        <v>2226</v>
      </c>
    </row>
    <row r="5" customFormat="false" ht="35.05" hidden="false" customHeight="false" outlineLevel="0" collapsed="false">
      <c r="A5" s="2" t="s">
        <v>2231</v>
      </c>
      <c r="B5" s="2" t="s">
        <v>2228</v>
      </c>
      <c r="C5" s="2" t="s">
        <v>2146</v>
      </c>
      <c r="D5" s="2" t="s">
        <v>2229</v>
      </c>
      <c r="E5" s="2" t="s">
        <v>2226</v>
      </c>
    </row>
    <row r="6" customFormat="false" ht="35.05" hidden="false" customHeight="false" outlineLevel="0" collapsed="false">
      <c r="A6" s="2" t="s">
        <v>2232</v>
      </c>
      <c r="B6" s="2" t="s">
        <v>2228</v>
      </c>
      <c r="C6" s="2" t="s">
        <v>2146</v>
      </c>
      <c r="D6" s="2" t="s">
        <v>2229</v>
      </c>
      <c r="E6" s="2" t="s">
        <v>2226</v>
      </c>
    </row>
    <row r="7" customFormat="false" ht="35.05" hidden="false" customHeight="false" outlineLevel="0" collapsed="false">
      <c r="A7" s="2" t="s">
        <v>2233</v>
      </c>
      <c r="B7" s="2" t="s">
        <v>2228</v>
      </c>
      <c r="C7" s="2" t="s">
        <v>2146</v>
      </c>
      <c r="D7" s="2" t="s">
        <v>2229</v>
      </c>
      <c r="E7" s="2" t="s">
        <v>2226</v>
      </c>
    </row>
    <row r="8" customFormat="false" ht="23.85" hidden="false" customHeight="false" outlineLevel="0" collapsed="false">
      <c r="A8" s="2" t="s">
        <v>2234</v>
      </c>
      <c r="B8" s="2" t="s">
        <v>2235</v>
      </c>
      <c r="C8" s="2" t="s">
        <v>2236</v>
      </c>
      <c r="D8" s="2" t="s">
        <v>2237</v>
      </c>
      <c r="E8" s="2" t="s">
        <v>2226</v>
      </c>
    </row>
    <row r="9" customFormat="false" ht="23.85" hidden="false" customHeight="false" outlineLevel="0" collapsed="false">
      <c r="A9" s="2" t="s">
        <v>2238</v>
      </c>
      <c r="B9" s="2" t="s">
        <v>2235</v>
      </c>
      <c r="C9" s="2" t="s">
        <v>2239</v>
      </c>
      <c r="D9" s="2" t="s">
        <v>2237</v>
      </c>
      <c r="E9" s="2" t="s">
        <v>2226</v>
      </c>
    </row>
    <row r="10" customFormat="false" ht="23.85" hidden="false" customHeight="false" outlineLevel="0" collapsed="false">
      <c r="A10" s="2" t="s">
        <v>2240</v>
      </c>
      <c r="B10" s="2" t="s">
        <v>2235</v>
      </c>
      <c r="C10" s="2" t="s">
        <v>2241</v>
      </c>
      <c r="D10" s="2" t="s">
        <v>2237</v>
      </c>
      <c r="E10" s="2" t="s">
        <v>2226</v>
      </c>
    </row>
    <row r="11" customFormat="false" ht="35.05" hidden="false" customHeight="false" outlineLevel="0" collapsed="false">
      <c r="A11" s="2" t="s">
        <v>2242</v>
      </c>
      <c r="B11" s="2" t="s">
        <v>2228</v>
      </c>
      <c r="C11" s="2" t="s">
        <v>2146</v>
      </c>
      <c r="D11" s="2" t="s">
        <v>2229</v>
      </c>
      <c r="E11" s="2" t="s">
        <v>2226</v>
      </c>
    </row>
    <row r="12" customFormat="false" ht="15" hidden="false" customHeight="false" outlineLevel="0" collapsed="false">
      <c r="A12" s="2" t="s">
        <v>2243</v>
      </c>
      <c r="B12" s="2" t="s">
        <v>2224</v>
      </c>
      <c r="C12" s="2" t="s">
        <v>1813</v>
      </c>
      <c r="D12" s="2" t="s">
        <v>2225</v>
      </c>
      <c r="E12" s="2" t="s">
        <v>2226</v>
      </c>
    </row>
    <row r="13" customFormat="false" ht="15" hidden="false" customHeight="false" outlineLevel="0" collapsed="false">
      <c r="A13" s="2" t="s">
        <v>2244</v>
      </c>
      <c r="B13" s="2" t="s">
        <v>2245</v>
      </c>
      <c r="C13" s="2" t="s">
        <v>1883</v>
      </c>
      <c r="D13" s="2" t="s">
        <v>2246</v>
      </c>
      <c r="E13" s="2" t="s">
        <v>2247</v>
      </c>
    </row>
    <row r="14" customFormat="false" ht="15" hidden="false" customHeight="false" outlineLevel="0" collapsed="false">
      <c r="A14" s="2" t="s">
        <v>2248</v>
      </c>
      <c r="B14" s="2" t="s">
        <v>2245</v>
      </c>
      <c r="C14" s="2" t="s">
        <v>1881</v>
      </c>
      <c r="D14" s="2" t="s">
        <v>2249</v>
      </c>
      <c r="E14" s="2" t="s">
        <v>2247</v>
      </c>
    </row>
    <row r="15" customFormat="false" ht="15" hidden="false" customHeight="false" outlineLevel="0" collapsed="false">
      <c r="A15" s="2" t="s">
        <v>2250</v>
      </c>
      <c r="B15" s="2" t="s">
        <v>2224</v>
      </c>
      <c r="C15" s="2" t="s">
        <v>1815</v>
      </c>
      <c r="D15" s="2" t="s">
        <v>2251</v>
      </c>
      <c r="E15" s="2" t="s">
        <v>2252</v>
      </c>
    </row>
    <row r="16" customFormat="false" ht="15" hidden="false" customHeight="false" outlineLevel="0" collapsed="false">
      <c r="A16" s="2" t="s">
        <v>2253</v>
      </c>
      <c r="B16" s="2" t="s">
        <v>2224</v>
      </c>
      <c r="C16" s="2" t="s">
        <v>1805</v>
      </c>
      <c r="D16" s="2" t="s">
        <v>2254</v>
      </c>
      <c r="E16" s="2" t="s">
        <v>2255</v>
      </c>
    </row>
    <row r="17" customFormat="false" ht="15" hidden="false" customHeight="false" outlineLevel="0" collapsed="false">
      <c r="A17" s="2" t="s">
        <v>2256</v>
      </c>
      <c r="B17" s="2" t="s">
        <v>2245</v>
      </c>
      <c r="C17" s="2" t="s">
        <v>1883</v>
      </c>
      <c r="D17" s="2" t="s">
        <v>2246</v>
      </c>
      <c r="E17" s="2" t="s">
        <v>2255</v>
      </c>
    </row>
    <row r="18" customFormat="false" ht="15" hidden="false" customHeight="false" outlineLevel="0" collapsed="false">
      <c r="A18" s="2" t="s">
        <v>2257</v>
      </c>
      <c r="B18" s="2" t="s">
        <v>2224</v>
      </c>
      <c r="C18" s="2" t="s">
        <v>1805</v>
      </c>
      <c r="D18" s="2" t="s">
        <v>2254</v>
      </c>
      <c r="E18" s="2" t="s">
        <v>2255</v>
      </c>
    </row>
    <row r="19" customFormat="false" ht="15" hidden="false" customHeight="false" outlineLevel="0" collapsed="false">
      <c r="A19" s="2" t="s">
        <v>2258</v>
      </c>
      <c r="B19" s="2" t="s">
        <v>2224</v>
      </c>
      <c r="C19" s="2" t="s">
        <v>1805</v>
      </c>
      <c r="D19" s="2" t="s">
        <v>2254</v>
      </c>
      <c r="E19" s="2" t="s">
        <v>2255</v>
      </c>
    </row>
    <row r="20" customFormat="false" ht="15" hidden="false" customHeight="false" outlineLevel="0" collapsed="false">
      <c r="A20" s="2" t="s">
        <v>2259</v>
      </c>
      <c r="B20" s="2" t="s">
        <v>2224</v>
      </c>
      <c r="C20" s="2" t="s">
        <v>1809</v>
      </c>
      <c r="D20" s="2" t="s">
        <v>2260</v>
      </c>
      <c r="E20" s="2" t="s">
        <v>2255</v>
      </c>
    </row>
    <row r="21" customFormat="false" ht="15" hidden="false" customHeight="false" outlineLevel="0" collapsed="false">
      <c r="A21" s="2" t="s">
        <v>2259</v>
      </c>
      <c r="B21" s="2" t="s">
        <v>2245</v>
      </c>
      <c r="C21" s="2" t="s">
        <v>1881</v>
      </c>
      <c r="D21" s="2" t="s">
        <v>2249</v>
      </c>
      <c r="E21" s="2" t="s">
        <v>2255</v>
      </c>
    </row>
    <row r="22" customFormat="false" ht="23.85" hidden="false" customHeight="false" outlineLevel="0" collapsed="false">
      <c r="A22" s="2" t="s">
        <v>2261</v>
      </c>
      <c r="B22" s="2" t="s">
        <v>2224</v>
      </c>
      <c r="C22" s="2" t="s">
        <v>1835</v>
      </c>
      <c r="D22" s="2" t="s">
        <v>2262</v>
      </c>
      <c r="E22" s="2" t="s">
        <v>2255</v>
      </c>
    </row>
    <row r="23" customFormat="false" ht="15" hidden="false" customHeight="false" outlineLevel="0" collapsed="false">
      <c r="A23" s="2" t="s">
        <v>2263</v>
      </c>
      <c r="B23" s="2" t="s">
        <v>2224</v>
      </c>
      <c r="C23" s="2" t="s">
        <v>1811</v>
      </c>
      <c r="D23" s="2" t="s">
        <v>2264</v>
      </c>
      <c r="E23" s="2" t="s">
        <v>2255</v>
      </c>
    </row>
    <row r="24" customFormat="false" ht="15" hidden="false" customHeight="false" outlineLevel="0" collapsed="false">
      <c r="A24" s="2" t="s">
        <v>2265</v>
      </c>
      <c r="B24" s="2" t="s">
        <v>2224</v>
      </c>
      <c r="C24" s="2" t="s">
        <v>1805</v>
      </c>
      <c r="D24" s="2" t="s">
        <v>2254</v>
      </c>
      <c r="E24" s="2" t="s">
        <v>2255</v>
      </c>
    </row>
    <row r="25" customFormat="false" ht="15" hidden="false" customHeight="false" outlineLevel="0" collapsed="false">
      <c r="A25" s="2" t="s">
        <v>2266</v>
      </c>
      <c r="B25" s="2" t="s">
        <v>2224</v>
      </c>
      <c r="C25" s="2" t="s">
        <v>1807</v>
      </c>
      <c r="D25" s="2" t="s">
        <v>2254</v>
      </c>
      <c r="E25" s="2" t="s">
        <v>2255</v>
      </c>
    </row>
    <row r="26" customFormat="false" ht="15" hidden="false" customHeight="false" outlineLevel="0" collapsed="false">
      <c r="A26" s="2" t="s">
        <v>2267</v>
      </c>
      <c r="B26" s="2" t="s">
        <v>2245</v>
      </c>
      <c r="C26" s="2" t="s">
        <v>1881</v>
      </c>
      <c r="D26" s="2" t="s">
        <v>2249</v>
      </c>
      <c r="E26" s="2" t="s">
        <v>2268</v>
      </c>
    </row>
    <row r="27" customFormat="false" ht="35.05" hidden="false" customHeight="false" outlineLevel="0" collapsed="false">
      <c r="A27" s="2" t="s">
        <v>2269</v>
      </c>
      <c r="B27" s="2" t="s">
        <v>2228</v>
      </c>
      <c r="C27" s="2" t="s">
        <v>2270</v>
      </c>
      <c r="D27" s="2" t="s">
        <v>2229</v>
      </c>
      <c r="E27" s="2" t="s">
        <v>2268</v>
      </c>
    </row>
    <row r="28" customFormat="false" ht="15" hidden="false" customHeight="false" outlineLevel="0" collapsed="false">
      <c r="A28" s="2" t="s">
        <v>2271</v>
      </c>
      <c r="B28" s="2" t="s">
        <v>2224</v>
      </c>
      <c r="C28" s="2" t="s">
        <v>1811</v>
      </c>
      <c r="D28" s="2" t="s">
        <v>2264</v>
      </c>
      <c r="E28" s="2" t="s">
        <v>2268</v>
      </c>
    </row>
    <row r="29" customFormat="false" ht="15" hidden="false" customHeight="false" outlineLevel="0" collapsed="false">
      <c r="A29" s="2" t="s">
        <v>2272</v>
      </c>
      <c r="B29" s="2" t="s">
        <v>2224</v>
      </c>
      <c r="C29" s="2" t="s">
        <v>1817</v>
      </c>
      <c r="D29" s="2" t="s">
        <v>2264</v>
      </c>
      <c r="E29" s="2" t="s">
        <v>2268</v>
      </c>
    </row>
    <row r="30" customFormat="false" ht="15" hidden="false" customHeight="false" outlineLevel="0" collapsed="false">
      <c r="A30" s="2" t="s">
        <v>2273</v>
      </c>
      <c r="B30" s="2" t="s">
        <v>2245</v>
      </c>
      <c r="C30" s="2" t="s">
        <v>1883</v>
      </c>
      <c r="D30" s="2" t="s">
        <v>2246</v>
      </c>
      <c r="E30" s="2" t="s">
        <v>2268</v>
      </c>
    </row>
    <row r="31" customFormat="false" ht="23.85" hidden="false" customHeight="false" outlineLevel="0" collapsed="false">
      <c r="A31" s="2" t="s">
        <v>2274</v>
      </c>
      <c r="B31" s="2" t="s">
        <v>2224</v>
      </c>
      <c r="C31" s="2" t="s">
        <v>1819</v>
      </c>
      <c r="D31" s="2" t="s">
        <v>2275</v>
      </c>
      <c r="E31" s="2" t="s">
        <v>2268</v>
      </c>
    </row>
    <row r="32" customFormat="false" ht="15" hidden="false" customHeight="false" outlineLevel="0" collapsed="false">
      <c r="A32" s="2" t="s">
        <v>2274</v>
      </c>
      <c r="B32" s="2" t="s">
        <v>2224</v>
      </c>
      <c r="C32" s="2" t="s">
        <v>1827</v>
      </c>
      <c r="D32" s="2" t="s">
        <v>2264</v>
      </c>
      <c r="E32" s="2" t="s">
        <v>2268</v>
      </c>
    </row>
    <row r="33" customFormat="false" ht="15" hidden="false" customHeight="false" outlineLevel="0" collapsed="false">
      <c r="A33" s="2" t="s">
        <v>2274</v>
      </c>
      <c r="B33" s="2" t="s">
        <v>2224</v>
      </c>
      <c r="C33" s="2" t="s">
        <v>1821</v>
      </c>
      <c r="D33" s="2" t="s">
        <v>2225</v>
      </c>
      <c r="E33" s="2" t="s">
        <v>2268</v>
      </c>
    </row>
    <row r="34" customFormat="false" ht="15" hidden="false" customHeight="false" outlineLevel="0" collapsed="false">
      <c r="A34" s="2" t="s">
        <v>2274</v>
      </c>
      <c r="B34" s="2" t="s">
        <v>2245</v>
      </c>
      <c r="C34" s="2" t="s">
        <v>1881</v>
      </c>
      <c r="D34" s="2" t="s">
        <v>2249</v>
      </c>
      <c r="E34" s="2" t="s">
        <v>2268</v>
      </c>
    </row>
    <row r="35" customFormat="false" ht="15" hidden="false" customHeight="false" outlineLevel="0" collapsed="false">
      <c r="A35" s="2" t="s">
        <v>2276</v>
      </c>
      <c r="B35" s="2" t="s">
        <v>2224</v>
      </c>
      <c r="C35" s="2" t="s">
        <v>1821</v>
      </c>
      <c r="D35" s="2" t="s">
        <v>2225</v>
      </c>
      <c r="E35" s="2" t="s">
        <v>2268</v>
      </c>
    </row>
    <row r="36" customFormat="false" ht="15" hidden="false" customHeight="false" outlineLevel="0" collapsed="false">
      <c r="A36" s="2" t="s">
        <v>2277</v>
      </c>
      <c r="B36" s="2" t="s">
        <v>2224</v>
      </c>
      <c r="C36" s="2" t="s">
        <v>1811</v>
      </c>
      <c r="D36" s="2" t="s">
        <v>2264</v>
      </c>
      <c r="E36" s="2" t="s">
        <v>2268</v>
      </c>
    </row>
    <row r="37" customFormat="false" ht="15" hidden="false" customHeight="false" outlineLevel="0" collapsed="false">
      <c r="A37" s="2" t="s">
        <v>2278</v>
      </c>
      <c r="B37" s="2" t="s">
        <v>2245</v>
      </c>
      <c r="C37" s="2" t="s">
        <v>1883</v>
      </c>
      <c r="D37" s="2" t="s">
        <v>2246</v>
      </c>
      <c r="E37" s="2" t="s">
        <v>2268</v>
      </c>
    </row>
    <row r="38" customFormat="false" ht="15" hidden="false" customHeight="false" outlineLevel="0" collapsed="false">
      <c r="A38" s="2" t="s">
        <v>2279</v>
      </c>
      <c r="B38" s="2" t="s">
        <v>2224</v>
      </c>
      <c r="C38" s="2" t="s">
        <v>1821</v>
      </c>
      <c r="D38" s="2" t="s">
        <v>2225</v>
      </c>
      <c r="E38" s="2" t="s">
        <v>2268</v>
      </c>
    </row>
    <row r="39" customFormat="false" ht="15" hidden="false" customHeight="false" outlineLevel="0" collapsed="false">
      <c r="A39" s="2" t="s">
        <v>2280</v>
      </c>
      <c r="B39" s="2" t="s">
        <v>2224</v>
      </c>
      <c r="C39" s="2" t="s">
        <v>1811</v>
      </c>
      <c r="D39" s="2" t="s">
        <v>2264</v>
      </c>
      <c r="E39" s="2" t="s">
        <v>2268</v>
      </c>
    </row>
    <row r="40" customFormat="false" ht="15" hidden="false" customHeight="false" outlineLevel="0" collapsed="false">
      <c r="A40" s="2" t="s">
        <v>2281</v>
      </c>
      <c r="B40" s="2" t="s">
        <v>2224</v>
      </c>
      <c r="C40" s="2" t="s">
        <v>1817</v>
      </c>
      <c r="D40" s="2" t="s">
        <v>2264</v>
      </c>
      <c r="E40" s="2" t="s">
        <v>2268</v>
      </c>
    </row>
    <row r="41" customFormat="false" ht="23.85" hidden="false" customHeight="false" outlineLevel="0" collapsed="false">
      <c r="A41" s="2" t="s">
        <v>2282</v>
      </c>
      <c r="B41" s="2" t="s">
        <v>2224</v>
      </c>
      <c r="C41" s="2" t="s">
        <v>1819</v>
      </c>
      <c r="D41" s="2" t="s">
        <v>2275</v>
      </c>
      <c r="E41" s="2" t="s">
        <v>2268</v>
      </c>
    </row>
    <row r="42" customFormat="false" ht="15" hidden="false" customHeight="false" outlineLevel="0" collapsed="false">
      <c r="A42" s="2" t="s">
        <v>2282</v>
      </c>
      <c r="B42" s="2" t="s">
        <v>2224</v>
      </c>
      <c r="C42" s="2" t="s">
        <v>1817</v>
      </c>
      <c r="D42" s="2" t="s">
        <v>2264</v>
      </c>
      <c r="E42" s="2" t="s">
        <v>2268</v>
      </c>
    </row>
    <row r="43" customFormat="false" ht="15" hidden="false" customHeight="false" outlineLevel="0" collapsed="false">
      <c r="A43" s="2" t="s">
        <v>2282</v>
      </c>
      <c r="B43" s="2" t="s">
        <v>2224</v>
      </c>
      <c r="C43" s="2" t="s">
        <v>1813</v>
      </c>
      <c r="D43" s="2" t="s">
        <v>2225</v>
      </c>
      <c r="E43" s="2" t="s">
        <v>2268</v>
      </c>
    </row>
    <row r="44" customFormat="false" ht="15" hidden="false" customHeight="false" outlineLevel="0" collapsed="false">
      <c r="A44" s="2" t="s">
        <v>2282</v>
      </c>
      <c r="B44" s="2" t="s">
        <v>2245</v>
      </c>
      <c r="C44" s="2" t="s">
        <v>1881</v>
      </c>
      <c r="D44" s="2" t="s">
        <v>2249</v>
      </c>
      <c r="E44" s="2" t="s">
        <v>2268</v>
      </c>
    </row>
    <row r="45" customFormat="false" ht="15" hidden="false" customHeight="false" outlineLevel="0" collapsed="false">
      <c r="A45" s="2" t="s">
        <v>2283</v>
      </c>
      <c r="B45" s="2" t="s">
        <v>2224</v>
      </c>
      <c r="C45" s="2" t="s">
        <v>1809</v>
      </c>
      <c r="D45" s="2" t="s">
        <v>2260</v>
      </c>
      <c r="E45" s="2" t="s">
        <v>2268</v>
      </c>
    </row>
    <row r="46" customFormat="false" ht="15" hidden="false" customHeight="false" outlineLevel="0" collapsed="false">
      <c r="A46" s="2" t="s">
        <v>2283</v>
      </c>
      <c r="B46" s="2" t="s">
        <v>2245</v>
      </c>
      <c r="C46" s="2" t="s">
        <v>1881</v>
      </c>
      <c r="D46" s="2" t="s">
        <v>2249</v>
      </c>
      <c r="E46" s="2" t="s">
        <v>2268</v>
      </c>
    </row>
    <row r="47" customFormat="false" ht="15" hidden="false" customHeight="false" outlineLevel="0" collapsed="false">
      <c r="A47" s="2" t="s">
        <v>2284</v>
      </c>
      <c r="B47" s="2" t="s">
        <v>2224</v>
      </c>
      <c r="C47" s="2" t="s">
        <v>1811</v>
      </c>
      <c r="D47" s="2" t="s">
        <v>2264</v>
      </c>
      <c r="E47" s="2" t="s">
        <v>2268</v>
      </c>
    </row>
    <row r="48" customFormat="false" ht="15" hidden="false" customHeight="false" outlineLevel="0" collapsed="false">
      <c r="A48" s="2" t="s">
        <v>2285</v>
      </c>
      <c r="B48" s="2" t="s">
        <v>2224</v>
      </c>
      <c r="C48" s="2" t="s">
        <v>1805</v>
      </c>
      <c r="D48" s="2" t="s">
        <v>2254</v>
      </c>
      <c r="E48" s="2" t="s">
        <v>2268</v>
      </c>
    </row>
    <row r="49" customFormat="false" ht="15" hidden="false" customHeight="false" outlineLevel="0" collapsed="false">
      <c r="A49" s="2" t="s">
        <v>2286</v>
      </c>
      <c r="B49" s="2" t="s">
        <v>2245</v>
      </c>
      <c r="C49" s="2" t="s">
        <v>1883</v>
      </c>
      <c r="D49" s="2" t="s">
        <v>2246</v>
      </c>
      <c r="E49" s="2" t="s">
        <v>2268</v>
      </c>
    </row>
    <row r="50" customFormat="false" ht="15" hidden="false" customHeight="false" outlineLevel="0" collapsed="false">
      <c r="A50" s="2" t="s">
        <v>2287</v>
      </c>
      <c r="B50" s="2" t="s">
        <v>2224</v>
      </c>
      <c r="C50" s="2" t="s">
        <v>1811</v>
      </c>
      <c r="D50" s="2" t="s">
        <v>2264</v>
      </c>
      <c r="E50" s="2" t="s">
        <v>2268</v>
      </c>
    </row>
    <row r="51" customFormat="false" ht="15" hidden="false" customHeight="false" outlineLevel="0" collapsed="false">
      <c r="A51" s="2" t="s">
        <v>2288</v>
      </c>
      <c r="B51" s="2" t="s">
        <v>2224</v>
      </c>
      <c r="C51" s="2" t="s">
        <v>1805</v>
      </c>
      <c r="D51" s="2" t="s">
        <v>2254</v>
      </c>
      <c r="E51" s="2" t="s">
        <v>2268</v>
      </c>
    </row>
    <row r="52" customFormat="false" ht="15" hidden="false" customHeight="false" outlineLevel="0" collapsed="false">
      <c r="A52" s="2" t="s">
        <v>2289</v>
      </c>
      <c r="B52" s="2" t="s">
        <v>2224</v>
      </c>
      <c r="C52" s="2" t="s">
        <v>1811</v>
      </c>
      <c r="D52" s="2" t="s">
        <v>2264</v>
      </c>
      <c r="E52" s="2" t="s">
        <v>1149</v>
      </c>
    </row>
    <row r="53" customFormat="false" ht="15" hidden="false" customHeight="false" outlineLevel="0" collapsed="false">
      <c r="A53" s="2" t="s">
        <v>2290</v>
      </c>
      <c r="B53" s="2" t="s">
        <v>2224</v>
      </c>
      <c r="C53" s="2" t="s">
        <v>1805</v>
      </c>
      <c r="D53" s="2" t="s">
        <v>2254</v>
      </c>
      <c r="E53" s="2" t="s">
        <v>1149</v>
      </c>
    </row>
    <row r="54" customFormat="false" ht="15" hidden="false" customHeight="false" outlineLevel="0" collapsed="false">
      <c r="A54" s="2" t="s">
        <v>2291</v>
      </c>
      <c r="B54" s="2" t="s">
        <v>2224</v>
      </c>
      <c r="C54" s="2" t="s">
        <v>1823</v>
      </c>
      <c r="D54" s="2" t="s">
        <v>2254</v>
      </c>
      <c r="E54" s="2" t="s">
        <v>2292</v>
      </c>
    </row>
    <row r="55" customFormat="false" ht="15" hidden="false" customHeight="false" outlineLevel="0" collapsed="false">
      <c r="A55" s="2" t="s">
        <v>2293</v>
      </c>
      <c r="B55" s="2" t="s">
        <v>2224</v>
      </c>
      <c r="C55" s="2" t="s">
        <v>1833</v>
      </c>
      <c r="D55" s="2" t="s">
        <v>2294</v>
      </c>
      <c r="E55" s="2" t="s">
        <v>2292</v>
      </c>
    </row>
    <row r="56" customFormat="false" ht="15" hidden="false" customHeight="false" outlineLevel="0" collapsed="false">
      <c r="A56" s="2" t="s">
        <v>2293</v>
      </c>
      <c r="B56" s="2" t="s">
        <v>2224</v>
      </c>
      <c r="C56" s="2" t="s">
        <v>1825</v>
      </c>
      <c r="D56" s="2" t="s">
        <v>2254</v>
      </c>
      <c r="E56" s="2" t="s">
        <v>2292</v>
      </c>
    </row>
    <row r="57" customFormat="false" ht="15" hidden="false" customHeight="false" outlineLevel="0" collapsed="false">
      <c r="A57" s="2" t="s">
        <v>2295</v>
      </c>
      <c r="B57" s="2" t="s">
        <v>2224</v>
      </c>
      <c r="C57" s="2" t="s">
        <v>1805</v>
      </c>
      <c r="D57" s="2" t="s">
        <v>2254</v>
      </c>
      <c r="E57" s="2" t="s">
        <v>2296</v>
      </c>
    </row>
    <row r="58" customFormat="false" ht="15" hidden="false" customHeight="false" outlineLevel="0" collapsed="false">
      <c r="A58" s="2" t="s">
        <v>2297</v>
      </c>
      <c r="B58" s="2" t="s">
        <v>2224</v>
      </c>
      <c r="C58" s="2" t="s">
        <v>1805</v>
      </c>
      <c r="D58" s="2" t="s">
        <v>2254</v>
      </c>
      <c r="E58" s="2" t="s">
        <v>2298</v>
      </c>
    </row>
    <row r="59" customFormat="false" ht="15" hidden="false" customHeight="false" outlineLevel="0" collapsed="false">
      <c r="A59" s="2" t="s">
        <v>2299</v>
      </c>
      <c r="B59" s="2" t="s">
        <v>2224</v>
      </c>
      <c r="C59" s="2" t="s">
        <v>1809</v>
      </c>
      <c r="D59" s="2" t="s">
        <v>2260</v>
      </c>
      <c r="E59" s="2" t="s">
        <v>2298</v>
      </c>
    </row>
    <row r="60" customFormat="false" ht="15" hidden="false" customHeight="false" outlineLevel="0" collapsed="false">
      <c r="A60" s="2" t="s">
        <v>2300</v>
      </c>
      <c r="B60" s="2" t="s">
        <v>2224</v>
      </c>
      <c r="C60" s="2" t="s">
        <v>1807</v>
      </c>
      <c r="D60" s="2" t="s">
        <v>2254</v>
      </c>
      <c r="E60" s="2" t="s">
        <v>2298</v>
      </c>
    </row>
    <row r="61" customFormat="false" ht="15" hidden="false" customHeight="false" outlineLevel="0" collapsed="false">
      <c r="A61" s="2" t="s">
        <v>2301</v>
      </c>
      <c r="B61" s="2" t="s">
        <v>2224</v>
      </c>
      <c r="C61" s="2" t="s">
        <v>1805</v>
      </c>
      <c r="D61" s="2" t="s">
        <v>2254</v>
      </c>
      <c r="E61" s="2" t="s">
        <v>2298</v>
      </c>
    </row>
    <row r="62" customFormat="false" ht="35.05" hidden="false" customHeight="false" outlineLevel="0" collapsed="false">
      <c r="A62" s="2" t="s">
        <v>2302</v>
      </c>
      <c r="B62" s="2" t="s">
        <v>2228</v>
      </c>
      <c r="C62" s="2" t="s">
        <v>2146</v>
      </c>
      <c r="D62" s="2" t="s">
        <v>2229</v>
      </c>
      <c r="E62" s="2" t="s">
        <v>2298</v>
      </c>
    </row>
    <row r="63" customFormat="false" ht="15" hidden="false" customHeight="false" outlineLevel="0" collapsed="false">
      <c r="A63" s="2" t="s">
        <v>2303</v>
      </c>
      <c r="B63" s="2" t="s">
        <v>2224</v>
      </c>
      <c r="C63" s="2" t="s">
        <v>1809</v>
      </c>
      <c r="D63" s="2" t="s">
        <v>2260</v>
      </c>
      <c r="E63" s="2" t="s">
        <v>2298</v>
      </c>
    </row>
    <row r="64" customFormat="false" ht="15" hidden="false" customHeight="false" outlineLevel="0" collapsed="false">
      <c r="A64" s="2" t="s">
        <v>2303</v>
      </c>
      <c r="B64" s="2" t="s">
        <v>2245</v>
      </c>
      <c r="C64" s="2" t="s">
        <v>1881</v>
      </c>
      <c r="D64" s="2" t="s">
        <v>2249</v>
      </c>
      <c r="E64" s="2" t="s">
        <v>2298</v>
      </c>
    </row>
    <row r="65" customFormat="false" ht="15" hidden="false" customHeight="false" outlineLevel="0" collapsed="false">
      <c r="A65" s="2" t="s">
        <v>2304</v>
      </c>
      <c r="B65" s="2" t="s">
        <v>2224</v>
      </c>
      <c r="C65" s="2" t="s">
        <v>1807</v>
      </c>
      <c r="D65" s="2" t="s">
        <v>2254</v>
      </c>
      <c r="E65" s="2" t="s">
        <v>2298</v>
      </c>
    </row>
    <row r="66" customFormat="false" ht="15" hidden="false" customHeight="false" outlineLevel="0" collapsed="false">
      <c r="A66" s="2" t="s">
        <v>2305</v>
      </c>
      <c r="B66" s="2" t="s">
        <v>2224</v>
      </c>
      <c r="C66" s="2" t="s">
        <v>1811</v>
      </c>
      <c r="D66" s="2" t="s">
        <v>2264</v>
      </c>
      <c r="E66" s="2" t="s">
        <v>2298</v>
      </c>
    </row>
    <row r="67" customFormat="false" ht="15" hidden="false" customHeight="false" outlineLevel="0" collapsed="false">
      <c r="A67" s="2" t="s">
        <v>2306</v>
      </c>
      <c r="B67" s="2" t="s">
        <v>2224</v>
      </c>
      <c r="C67" s="2" t="s">
        <v>1807</v>
      </c>
      <c r="D67" s="2" t="s">
        <v>2254</v>
      </c>
      <c r="E67" s="2" t="s">
        <v>2298</v>
      </c>
    </row>
    <row r="68" customFormat="false" ht="15" hidden="false" customHeight="false" outlineLevel="0" collapsed="false">
      <c r="A68" s="2" t="s">
        <v>2307</v>
      </c>
      <c r="B68" s="2" t="s">
        <v>2224</v>
      </c>
      <c r="C68" s="2" t="s">
        <v>1807</v>
      </c>
      <c r="D68" s="2" t="s">
        <v>2254</v>
      </c>
      <c r="E68" s="2" t="s">
        <v>2298</v>
      </c>
    </row>
    <row r="69" customFormat="false" ht="15" hidden="false" customHeight="false" outlineLevel="0" collapsed="false">
      <c r="A69" s="2" t="s">
        <v>2308</v>
      </c>
      <c r="B69" s="2" t="s">
        <v>2245</v>
      </c>
      <c r="C69" s="2" t="s">
        <v>1883</v>
      </c>
      <c r="D69" s="2" t="s">
        <v>2246</v>
      </c>
      <c r="E69" s="2" t="s">
        <v>2298</v>
      </c>
    </row>
    <row r="70" customFormat="false" ht="15" hidden="false" customHeight="false" outlineLevel="0" collapsed="false">
      <c r="A70" s="2" t="s">
        <v>2309</v>
      </c>
      <c r="B70" s="2" t="s">
        <v>2224</v>
      </c>
      <c r="C70" s="2" t="s">
        <v>1813</v>
      </c>
      <c r="D70" s="2" t="s">
        <v>2225</v>
      </c>
      <c r="E70" s="2" t="s">
        <v>2298</v>
      </c>
    </row>
    <row r="71" customFormat="false" ht="15" hidden="false" customHeight="false" outlineLevel="0" collapsed="false">
      <c r="A71" s="2" t="s">
        <v>2309</v>
      </c>
      <c r="B71" s="2" t="s">
        <v>2224</v>
      </c>
      <c r="C71" s="2" t="s">
        <v>1817</v>
      </c>
      <c r="D71" s="2" t="s">
        <v>2264</v>
      </c>
      <c r="E71" s="2" t="s">
        <v>2298</v>
      </c>
    </row>
    <row r="72" customFormat="false" ht="15" hidden="false" customHeight="false" outlineLevel="0" collapsed="false">
      <c r="A72" s="2" t="s">
        <v>2309</v>
      </c>
      <c r="B72" s="2" t="s">
        <v>2224</v>
      </c>
      <c r="C72" s="2" t="s">
        <v>1837</v>
      </c>
      <c r="D72" s="2" t="s">
        <v>2310</v>
      </c>
      <c r="E72" s="2" t="s">
        <v>2298</v>
      </c>
    </row>
    <row r="73" customFormat="false" ht="15" hidden="false" customHeight="false" outlineLevel="0" collapsed="false">
      <c r="A73" s="2" t="s">
        <v>2311</v>
      </c>
      <c r="B73" s="2" t="s">
        <v>2224</v>
      </c>
      <c r="C73" s="2" t="s">
        <v>1805</v>
      </c>
      <c r="D73" s="2" t="s">
        <v>2254</v>
      </c>
      <c r="E73" s="2" t="s">
        <v>2298</v>
      </c>
    </row>
    <row r="74" customFormat="false" ht="15" hidden="false" customHeight="false" outlineLevel="0" collapsed="false">
      <c r="A74" s="2" t="s">
        <v>2312</v>
      </c>
      <c r="B74" s="2" t="s">
        <v>2224</v>
      </c>
      <c r="C74" s="2" t="s">
        <v>1817</v>
      </c>
      <c r="D74" s="2" t="s">
        <v>2264</v>
      </c>
      <c r="E74" s="2" t="s">
        <v>2298</v>
      </c>
    </row>
    <row r="75" customFormat="false" ht="15" hidden="false" customHeight="false" outlineLevel="0" collapsed="false">
      <c r="A75" s="2" t="s">
        <v>2313</v>
      </c>
      <c r="B75" s="2" t="s">
        <v>2224</v>
      </c>
      <c r="C75" s="2" t="s">
        <v>1809</v>
      </c>
      <c r="D75" s="2" t="s">
        <v>2260</v>
      </c>
      <c r="E75" s="2" t="s">
        <v>2298</v>
      </c>
    </row>
    <row r="76" customFormat="false" ht="15" hidden="false" customHeight="false" outlineLevel="0" collapsed="false">
      <c r="A76" s="2" t="s">
        <v>2313</v>
      </c>
      <c r="B76" s="2" t="s">
        <v>2245</v>
      </c>
      <c r="C76" s="2" t="s">
        <v>1881</v>
      </c>
      <c r="D76" s="2" t="s">
        <v>2249</v>
      </c>
      <c r="E76" s="2" t="s">
        <v>2298</v>
      </c>
    </row>
    <row r="77" customFormat="false" ht="15" hidden="false" customHeight="false" outlineLevel="0" collapsed="false">
      <c r="A77" s="2" t="s">
        <v>2314</v>
      </c>
      <c r="B77" s="2" t="s">
        <v>2224</v>
      </c>
      <c r="C77" s="2" t="s">
        <v>1817</v>
      </c>
      <c r="D77" s="2" t="s">
        <v>2264</v>
      </c>
      <c r="E77" s="2" t="s">
        <v>2298</v>
      </c>
    </row>
    <row r="78" customFormat="false" ht="15" hidden="false" customHeight="false" outlineLevel="0" collapsed="false">
      <c r="A78" s="2" t="s">
        <v>2315</v>
      </c>
      <c r="B78" s="2" t="s">
        <v>2224</v>
      </c>
      <c r="C78" s="2" t="s">
        <v>1809</v>
      </c>
      <c r="D78" s="2" t="s">
        <v>2260</v>
      </c>
      <c r="E78" s="2" t="s">
        <v>2298</v>
      </c>
    </row>
    <row r="79" customFormat="false" ht="15" hidden="false" customHeight="false" outlineLevel="0" collapsed="false">
      <c r="A79" s="2" t="s">
        <v>2315</v>
      </c>
      <c r="B79" s="2" t="s">
        <v>2245</v>
      </c>
      <c r="C79" s="2" t="s">
        <v>1881</v>
      </c>
      <c r="D79" s="2" t="s">
        <v>2249</v>
      </c>
      <c r="E79" s="2" t="s">
        <v>2298</v>
      </c>
    </row>
    <row r="80" customFormat="false" ht="15" hidden="false" customHeight="false" outlineLevel="0" collapsed="false">
      <c r="A80" s="2" t="s">
        <v>2316</v>
      </c>
      <c r="B80" s="2" t="s">
        <v>2224</v>
      </c>
      <c r="C80" s="2" t="s">
        <v>1805</v>
      </c>
      <c r="D80" s="2" t="s">
        <v>2254</v>
      </c>
      <c r="E80" s="2" t="s">
        <v>2298</v>
      </c>
    </row>
    <row r="81" customFormat="false" ht="23.85" hidden="false" customHeight="false" outlineLevel="0" collapsed="false">
      <c r="A81" s="2" t="s">
        <v>2317</v>
      </c>
      <c r="B81" s="2" t="s">
        <v>2224</v>
      </c>
      <c r="C81" s="2" t="s">
        <v>1819</v>
      </c>
      <c r="D81" s="2" t="s">
        <v>2275</v>
      </c>
      <c r="E81" s="2" t="s">
        <v>2298</v>
      </c>
    </row>
    <row r="82" customFormat="false" ht="15" hidden="false" customHeight="false" outlineLevel="0" collapsed="false">
      <c r="A82" s="2" t="s">
        <v>2318</v>
      </c>
      <c r="B82" s="2" t="s">
        <v>2224</v>
      </c>
      <c r="C82" s="2" t="s">
        <v>1805</v>
      </c>
      <c r="D82" s="2" t="s">
        <v>2254</v>
      </c>
      <c r="E82" s="2" t="s">
        <v>2298</v>
      </c>
    </row>
    <row r="83" customFormat="false" ht="15" hidden="false" customHeight="false" outlineLevel="0" collapsed="false">
      <c r="A83" s="2" t="s">
        <v>2319</v>
      </c>
      <c r="B83" s="2" t="s">
        <v>2245</v>
      </c>
      <c r="C83" s="2" t="s">
        <v>1883</v>
      </c>
      <c r="D83" s="2" t="s">
        <v>2246</v>
      </c>
      <c r="E83" s="2" t="s">
        <v>2298</v>
      </c>
    </row>
    <row r="84" customFormat="false" ht="15" hidden="false" customHeight="false" outlineLevel="0" collapsed="false">
      <c r="A84" s="2" t="s">
        <v>2320</v>
      </c>
      <c r="B84" s="2" t="s">
        <v>2224</v>
      </c>
      <c r="C84" s="2" t="s">
        <v>1805</v>
      </c>
      <c r="D84" s="2" t="s">
        <v>2254</v>
      </c>
      <c r="E84" s="2" t="s">
        <v>2321</v>
      </c>
    </row>
    <row r="85" customFormat="false" ht="15" hidden="false" customHeight="false" outlineLevel="0" collapsed="false">
      <c r="A85" s="2" t="s">
        <v>2322</v>
      </c>
      <c r="B85" s="2" t="s">
        <v>2224</v>
      </c>
      <c r="C85" s="2" t="s">
        <v>1809</v>
      </c>
      <c r="D85" s="2" t="s">
        <v>2260</v>
      </c>
      <c r="E85" s="2" t="s">
        <v>2321</v>
      </c>
    </row>
    <row r="86" customFormat="false" ht="15" hidden="false" customHeight="false" outlineLevel="0" collapsed="false">
      <c r="A86" s="2" t="s">
        <v>2322</v>
      </c>
      <c r="B86" s="2" t="s">
        <v>2245</v>
      </c>
      <c r="C86" s="2" t="s">
        <v>1881</v>
      </c>
      <c r="D86" s="2" t="s">
        <v>2249</v>
      </c>
      <c r="E86" s="2" t="s">
        <v>2321</v>
      </c>
    </row>
    <row r="87" customFormat="false" ht="15" hidden="false" customHeight="false" outlineLevel="0" collapsed="false">
      <c r="A87" s="2" t="s">
        <v>2323</v>
      </c>
      <c r="B87" s="2" t="s">
        <v>2224</v>
      </c>
      <c r="C87" s="2" t="s">
        <v>1807</v>
      </c>
      <c r="D87" s="2" t="s">
        <v>2254</v>
      </c>
      <c r="E87" s="2" t="s">
        <v>2321</v>
      </c>
    </row>
    <row r="88" customFormat="false" ht="15" hidden="false" customHeight="false" outlineLevel="0" collapsed="false">
      <c r="A88" s="2" t="s">
        <v>2324</v>
      </c>
      <c r="B88" s="2" t="s">
        <v>2224</v>
      </c>
      <c r="C88" s="2" t="s">
        <v>1807</v>
      </c>
      <c r="D88" s="2" t="s">
        <v>2254</v>
      </c>
      <c r="E88" s="2" t="s">
        <v>2321</v>
      </c>
    </row>
    <row r="89" customFormat="false" ht="15" hidden="false" customHeight="false" outlineLevel="0" collapsed="false">
      <c r="A89" s="2" t="s">
        <v>2325</v>
      </c>
      <c r="B89" s="2" t="s">
        <v>2224</v>
      </c>
      <c r="C89" s="2" t="s">
        <v>1817</v>
      </c>
      <c r="D89" s="2" t="s">
        <v>2264</v>
      </c>
      <c r="E89" s="2" t="s">
        <v>2326</v>
      </c>
    </row>
    <row r="90" customFormat="false" ht="15" hidden="false" customHeight="false" outlineLevel="0" collapsed="false">
      <c r="A90" s="2" t="s">
        <v>2325</v>
      </c>
      <c r="B90" s="2" t="s">
        <v>2224</v>
      </c>
      <c r="C90" s="2" t="s">
        <v>1811</v>
      </c>
      <c r="D90" s="2" t="s">
        <v>2264</v>
      </c>
      <c r="E90" s="2" t="s">
        <v>2326</v>
      </c>
    </row>
    <row r="91" customFormat="false" ht="15" hidden="false" customHeight="false" outlineLevel="0" collapsed="false">
      <c r="A91" s="2" t="s">
        <v>2327</v>
      </c>
      <c r="B91" s="2" t="s">
        <v>2245</v>
      </c>
      <c r="C91" s="2" t="s">
        <v>1883</v>
      </c>
      <c r="D91" s="2" t="s">
        <v>2246</v>
      </c>
      <c r="E91" s="2" t="s">
        <v>2326</v>
      </c>
    </row>
    <row r="92" customFormat="false" ht="15" hidden="false" customHeight="false" outlineLevel="0" collapsed="false">
      <c r="A92" s="2" t="s">
        <v>2328</v>
      </c>
      <c r="B92" s="2" t="s">
        <v>2224</v>
      </c>
      <c r="C92" s="2" t="s">
        <v>1817</v>
      </c>
      <c r="D92" s="2" t="s">
        <v>2264</v>
      </c>
      <c r="E92" s="2" t="s">
        <v>2326</v>
      </c>
    </row>
    <row r="93" customFormat="false" ht="15" hidden="false" customHeight="false" outlineLevel="0" collapsed="false">
      <c r="A93" s="2" t="s">
        <v>2328</v>
      </c>
      <c r="B93" s="2" t="s">
        <v>2224</v>
      </c>
      <c r="C93" s="2" t="s">
        <v>1811</v>
      </c>
      <c r="D93" s="2" t="s">
        <v>2264</v>
      </c>
      <c r="E93" s="2" t="s">
        <v>2326</v>
      </c>
    </row>
    <row r="94" customFormat="false" ht="15" hidden="false" customHeight="false" outlineLevel="0" collapsed="false">
      <c r="A94" s="2" t="s">
        <v>2329</v>
      </c>
      <c r="B94" s="2" t="s">
        <v>2245</v>
      </c>
      <c r="C94" s="2" t="s">
        <v>1883</v>
      </c>
      <c r="D94" s="2" t="s">
        <v>2246</v>
      </c>
      <c r="E94" s="2" t="s">
        <v>2326</v>
      </c>
    </row>
    <row r="95" customFormat="false" ht="15" hidden="false" customHeight="false" outlineLevel="0" collapsed="false">
      <c r="A95" s="2" t="s">
        <v>2330</v>
      </c>
      <c r="B95" s="2" t="s">
        <v>2245</v>
      </c>
      <c r="C95" s="2" t="s">
        <v>1885</v>
      </c>
      <c r="D95" s="2" t="s">
        <v>2331</v>
      </c>
      <c r="E95" s="2" t="s">
        <v>2255</v>
      </c>
    </row>
    <row r="96" customFormat="false" ht="15" hidden="false" customHeight="false" outlineLevel="0" collapsed="false">
      <c r="A96" s="2" t="s">
        <v>2332</v>
      </c>
      <c r="B96" s="2" t="s">
        <v>2245</v>
      </c>
      <c r="C96" s="2" t="s">
        <v>1881</v>
      </c>
      <c r="D96" s="2" t="s">
        <v>2249</v>
      </c>
      <c r="E96" s="2" t="s">
        <v>2255</v>
      </c>
    </row>
    <row r="97" customFormat="false" ht="15" hidden="false" customHeight="false" outlineLevel="0" collapsed="false">
      <c r="A97" s="2" t="s">
        <v>2333</v>
      </c>
      <c r="B97" s="2" t="s">
        <v>2224</v>
      </c>
      <c r="C97" s="2" t="s">
        <v>1807</v>
      </c>
      <c r="D97" s="2" t="s">
        <v>2254</v>
      </c>
      <c r="E97" s="2" t="s">
        <v>2255</v>
      </c>
    </row>
    <row r="98" customFormat="false" ht="15" hidden="false" customHeight="false" outlineLevel="0" collapsed="false">
      <c r="A98" s="2" t="s">
        <v>2333</v>
      </c>
      <c r="B98" s="2" t="s">
        <v>2224</v>
      </c>
      <c r="C98" s="2" t="s">
        <v>1811</v>
      </c>
      <c r="D98" s="2" t="s">
        <v>2264</v>
      </c>
      <c r="E98" s="2" t="s">
        <v>2255</v>
      </c>
    </row>
    <row r="99" customFormat="false" ht="15" hidden="false" customHeight="false" outlineLevel="0" collapsed="false">
      <c r="A99" s="2" t="s">
        <v>2334</v>
      </c>
      <c r="B99" s="2" t="s">
        <v>2224</v>
      </c>
      <c r="C99" s="2" t="s">
        <v>1805</v>
      </c>
      <c r="D99" s="2" t="s">
        <v>2254</v>
      </c>
      <c r="E99" s="2" t="s">
        <v>2255</v>
      </c>
    </row>
    <row r="100" customFormat="false" ht="15" hidden="false" customHeight="false" outlineLevel="0" collapsed="false">
      <c r="A100" s="2" t="s">
        <v>2335</v>
      </c>
      <c r="B100" s="2" t="s">
        <v>2224</v>
      </c>
      <c r="C100" s="2" t="s">
        <v>1807</v>
      </c>
      <c r="D100" s="2" t="s">
        <v>2254</v>
      </c>
      <c r="E100" s="2" t="s">
        <v>2255</v>
      </c>
    </row>
    <row r="101" customFormat="false" ht="15" hidden="false" customHeight="false" outlineLevel="0" collapsed="false">
      <c r="A101" s="2" t="s">
        <v>2336</v>
      </c>
      <c r="B101" s="2" t="s">
        <v>2224</v>
      </c>
      <c r="C101" s="2" t="s">
        <v>1807</v>
      </c>
      <c r="D101" s="2" t="s">
        <v>2254</v>
      </c>
      <c r="E101" s="2" t="s">
        <v>2255</v>
      </c>
    </row>
    <row r="102" customFormat="false" ht="15" hidden="false" customHeight="false" outlineLevel="0" collapsed="false">
      <c r="A102" s="2" t="s">
        <v>2336</v>
      </c>
      <c r="B102" s="2" t="s">
        <v>2224</v>
      </c>
      <c r="C102" s="2" t="s">
        <v>1809</v>
      </c>
      <c r="D102" s="2" t="s">
        <v>2260</v>
      </c>
      <c r="E102" s="2" t="s">
        <v>2255</v>
      </c>
    </row>
    <row r="103" customFormat="false" ht="15" hidden="false" customHeight="false" outlineLevel="0" collapsed="false">
      <c r="A103" s="2" t="s">
        <v>2337</v>
      </c>
      <c r="B103" s="2" t="s">
        <v>2245</v>
      </c>
      <c r="C103" s="2" t="s">
        <v>1881</v>
      </c>
      <c r="D103" s="2" t="s">
        <v>2249</v>
      </c>
      <c r="E103" s="2" t="s">
        <v>2338</v>
      </c>
    </row>
    <row r="104" customFormat="false" ht="35.05" hidden="false" customHeight="false" outlineLevel="0" collapsed="false">
      <c r="A104" s="2" t="s">
        <v>2339</v>
      </c>
      <c r="B104" s="2" t="s">
        <v>2228</v>
      </c>
      <c r="C104" s="2" t="s">
        <v>2152</v>
      </c>
      <c r="D104" s="2" t="s">
        <v>2229</v>
      </c>
      <c r="E104" s="2" t="s">
        <v>2338</v>
      </c>
    </row>
    <row r="105" customFormat="false" ht="15" hidden="false" customHeight="false" outlineLevel="0" collapsed="false">
      <c r="A105" s="2" t="s">
        <v>2339</v>
      </c>
      <c r="B105" s="2" t="s">
        <v>2340</v>
      </c>
      <c r="C105" s="2" t="s">
        <v>2024</v>
      </c>
      <c r="D105" s="2" t="s">
        <v>2341</v>
      </c>
      <c r="E105" s="2" t="s">
        <v>2338</v>
      </c>
    </row>
    <row r="106" customFormat="false" ht="35.05" hidden="false" customHeight="false" outlineLevel="0" collapsed="false">
      <c r="A106" s="2" t="s">
        <v>2342</v>
      </c>
      <c r="B106" s="2" t="s">
        <v>2228</v>
      </c>
      <c r="C106" s="2" t="s">
        <v>2152</v>
      </c>
      <c r="D106" s="2" t="s">
        <v>2229</v>
      </c>
      <c r="E106" s="2" t="s">
        <v>2338</v>
      </c>
    </row>
    <row r="107" customFormat="false" ht="15" hidden="false" customHeight="false" outlineLevel="0" collapsed="false">
      <c r="A107" s="2" t="s">
        <v>2342</v>
      </c>
      <c r="B107" s="2" t="s">
        <v>2340</v>
      </c>
      <c r="C107" s="2" t="s">
        <v>2024</v>
      </c>
      <c r="D107" s="2" t="s">
        <v>2341</v>
      </c>
      <c r="E107" s="2" t="s">
        <v>2338</v>
      </c>
    </row>
    <row r="108" customFormat="false" ht="15" hidden="false" customHeight="false" outlineLevel="0" collapsed="false">
      <c r="A108" s="2" t="s">
        <v>1506</v>
      </c>
      <c r="B108" s="2" t="s">
        <v>2224</v>
      </c>
      <c r="C108" s="2" t="s">
        <v>1809</v>
      </c>
      <c r="D108" s="2" t="s">
        <v>2260</v>
      </c>
      <c r="E108" s="2" t="s">
        <v>2338</v>
      </c>
    </row>
    <row r="109" customFormat="false" ht="15" hidden="false" customHeight="false" outlineLevel="0" collapsed="false">
      <c r="A109" s="2" t="s">
        <v>1506</v>
      </c>
      <c r="B109" s="2" t="s">
        <v>2245</v>
      </c>
      <c r="C109" s="2" t="s">
        <v>1881</v>
      </c>
      <c r="D109" s="2" t="s">
        <v>2249</v>
      </c>
      <c r="E109" s="2" t="s">
        <v>2338</v>
      </c>
    </row>
    <row r="110" customFormat="false" ht="15" hidden="false" customHeight="false" outlineLevel="0" collapsed="false">
      <c r="A110" s="2" t="s">
        <v>2343</v>
      </c>
      <c r="B110" s="2" t="s">
        <v>2224</v>
      </c>
      <c r="C110" s="2" t="s">
        <v>1805</v>
      </c>
      <c r="D110" s="2" t="s">
        <v>2254</v>
      </c>
      <c r="E110" s="2" t="s">
        <v>2338</v>
      </c>
    </row>
    <row r="111" customFormat="false" ht="15" hidden="false" customHeight="false" outlineLevel="0" collapsed="false">
      <c r="A111" s="2" t="s">
        <v>2343</v>
      </c>
      <c r="B111" s="2" t="s">
        <v>2224</v>
      </c>
      <c r="C111" s="2" t="s">
        <v>1811</v>
      </c>
      <c r="D111" s="2" t="s">
        <v>2264</v>
      </c>
      <c r="E111" s="2" t="s">
        <v>2338</v>
      </c>
    </row>
    <row r="112" customFormat="false" ht="15" hidden="false" customHeight="false" outlineLevel="0" collapsed="false">
      <c r="A112" s="2" t="s">
        <v>2344</v>
      </c>
      <c r="B112" s="2" t="s">
        <v>2224</v>
      </c>
      <c r="C112" s="2" t="s">
        <v>1805</v>
      </c>
      <c r="D112" s="2" t="s">
        <v>2254</v>
      </c>
      <c r="E112" s="2" t="s">
        <v>2338</v>
      </c>
    </row>
    <row r="113" customFormat="false" ht="15" hidden="false" customHeight="false" outlineLevel="0" collapsed="false">
      <c r="A113" s="2" t="s">
        <v>2344</v>
      </c>
      <c r="B113" s="2" t="s">
        <v>2224</v>
      </c>
      <c r="C113" s="2" t="s">
        <v>1811</v>
      </c>
      <c r="D113" s="2" t="s">
        <v>2264</v>
      </c>
      <c r="E113" s="2" t="s">
        <v>2338</v>
      </c>
    </row>
    <row r="114" customFormat="false" ht="15" hidden="false" customHeight="false" outlineLevel="0" collapsed="false">
      <c r="A114" s="2" t="s">
        <v>2345</v>
      </c>
      <c r="B114" s="2" t="s">
        <v>2224</v>
      </c>
      <c r="C114" s="2" t="s">
        <v>1839</v>
      </c>
      <c r="D114" s="2" t="s">
        <v>2346</v>
      </c>
      <c r="E114" s="2" t="s">
        <v>2347</v>
      </c>
    </row>
    <row r="115" customFormat="false" ht="15" hidden="false" customHeight="false" outlineLevel="0" collapsed="false">
      <c r="A115" s="2" t="s">
        <v>2345</v>
      </c>
      <c r="B115" s="2" t="s">
        <v>2245</v>
      </c>
      <c r="C115" s="2" t="s">
        <v>1881</v>
      </c>
      <c r="D115" s="2" t="s">
        <v>2249</v>
      </c>
      <c r="E115" s="2" t="s">
        <v>2347</v>
      </c>
    </row>
    <row r="116" customFormat="false" ht="15" hidden="false" customHeight="false" outlineLevel="0" collapsed="false">
      <c r="A116" s="2" t="s">
        <v>2348</v>
      </c>
      <c r="B116" s="2" t="s">
        <v>2224</v>
      </c>
      <c r="C116" s="2" t="s">
        <v>1859</v>
      </c>
      <c r="D116" s="2" t="s">
        <v>2225</v>
      </c>
      <c r="E116" s="2" t="s">
        <v>2347</v>
      </c>
    </row>
    <row r="117" customFormat="false" ht="15" hidden="false" customHeight="false" outlineLevel="0" collapsed="false">
      <c r="A117" s="2" t="s">
        <v>2348</v>
      </c>
      <c r="B117" s="2" t="s">
        <v>2224</v>
      </c>
      <c r="C117" s="2" t="s">
        <v>1841</v>
      </c>
      <c r="D117" s="2" t="s">
        <v>2349</v>
      </c>
      <c r="E117" s="2" t="s">
        <v>2347</v>
      </c>
    </row>
    <row r="118" customFormat="false" ht="15" hidden="false" customHeight="false" outlineLevel="0" collapsed="false">
      <c r="A118" s="2" t="s">
        <v>2350</v>
      </c>
      <c r="B118" s="2" t="s">
        <v>2224</v>
      </c>
      <c r="C118" s="2" t="s">
        <v>1815</v>
      </c>
      <c r="D118" s="2" t="s">
        <v>2251</v>
      </c>
      <c r="E118" s="2" t="s">
        <v>2347</v>
      </c>
    </row>
    <row r="119" customFormat="false" ht="23.85" hidden="false" customHeight="false" outlineLevel="0" collapsed="false">
      <c r="A119" s="2" t="s">
        <v>2351</v>
      </c>
      <c r="B119" s="2" t="s">
        <v>2224</v>
      </c>
      <c r="C119" s="2" t="s">
        <v>1835</v>
      </c>
      <c r="D119" s="2" t="s">
        <v>2262</v>
      </c>
      <c r="E119" s="2" t="s">
        <v>2326</v>
      </c>
    </row>
    <row r="120" customFormat="false" ht="15" hidden="false" customHeight="false" outlineLevel="0" collapsed="false">
      <c r="A120" s="2" t="s">
        <v>2352</v>
      </c>
      <c r="B120" s="2" t="s">
        <v>2224</v>
      </c>
      <c r="C120" s="2" t="s">
        <v>1827</v>
      </c>
      <c r="D120" s="2" t="s">
        <v>2264</v>
      </c>
      <c r="E120" s="2" t="s">
        <v>2326</v>
      </c>
    </row>
    <row r="121" customFormat="false" ht="15" hidden="false" customHeight="false" outlineLevel="0" collapsed="false">
      <c r="A121" s="2" t="s">
        <v>2352</v>
      </c>
      <c r="B121" s="2" t="s">
        <v>2245</v>
      </c>
      <c r="C121" s="2" t="s">
        <v>1881</v>
      </c>
      <c r="D121" s="2" t="s">
        <v>2249</v>
      </c>
      <c r="E121" s="2" t="s">
        <v>2326</v>
      </c>
    </row>
    <row r="122" customFormat="false" ht="35.05" hidden="false" customHeight="false" outlineLevel="0" collapsed="false">
      <c r="A122" s="2" t="s">
        <v>2352</v>
      </c>
      <c r="B122" s="2" t="s">
        <v>2228</v>
      </c>
      <c r="C122" s="2" t="s">
        <v>2144</v>
      </c>
      <c r="D122" s="2" t="s">
        <v>2229</v>
      </c>
      <c r="E122" s="2" t="s">
        <v>2326</v>
      </c>
    </row>
    <row r="123" customFormat="false" ht="15" hidden="false" customHeight="false" outlineLevel="0" collapsed="false">
      <c r="A123" s="2" t="s">
        <v>2353</v>
      </c>
      <c r="B123" s="2" t="s">
        <v>2224</v>
      </c>
      <c r="C123" s="2" t="s">
        <v>1811</v>
      </c>
      <c r="D123" s="2" t="s">
        <v>2264</v>
      </c>
      <c r="E123" s="2" t="s">
        <v>2326</v>
      </c>
    </row>
    <row r="124" customFormat="false" ht="15" hidden="false" customHeight="false" outlineLevel="0" collapsed="false">
      <c r="A124" s="2" t="s">
        <v>2354</v>
      </c>
      <c r="B124" s="2" t="s">
        <v>2224</v>
      </c>
      <c r="C124" s="2" t="s">
        <v>1805</v>
      </c>
      <c r="D124" s="2" t="s">
        <v>2254</v>
      </c>
      <c r="E124" s="2" t="s">
        <v>2326</v>
      </c>
    </row>
    <row r="125" customFormat="false" ht="15" hidden="false" customHeight="false" outlineLevel="0" collapsed="false">
      <c r="A125" s="2" t="s">
        <v>2355</v>
      </c>
      <c r="B125" s="2" t="s">
        <v>2224</v>
      </c>
      <c r="C125" s="2" t="s">
        <v>1807</v>
      </c>
      <c r="D125" s="2" t="s">
        <v>2254</v>
      </c>
      <c r="E125" s="2" t="s">
        <v>2326</v>
      </c>
    </row>
    <row r="126" customFormat="false" ht="15" hidden="false" customHeight="false" outlineLevel="0" collapsed="false">
      <c r="A126" s="2" t="s">
        <v>2356</v>
      </c>
      <c r="B126" s="2" t="s">
        <v>2245</v>
      </c>
      <c r="C126" s="2" t="s">
        <v>1883</v>
      </c>
      <c r="D126" s="2" t="s">
        <v>2246</v>
      </c>
      <c r="E126" s="2" t="s">
        <v>2255</v>
      </c>
    </row>
    <row r="127" customFormat="false" ht="15" hidden="false" customHeight="false" outlineLevel="0" collapsed="false">
      <c r="A127" s="2" t="s">
        <v>2357</v>
      </c>
      <c r="B127" s="2" t="s">
        <v>2224</v>
      </c>
      <c r="C127" s="2" t="s">
        <v>1811</v>
      </c>
      <c r="D127" s="2" t="s">
        <v>2264</v>
      </c>
      <c r="E127" s="2" t="s">
        <v>2255</v>
      </c>
    </row>
    <row r="128" customFormat="false" ht="23.85" hidden="false" customHeight="false" outlineLevel="0" collapsed="false">
      <c r="A128" s="2" t="s">
        <v>2357</v>
      </c>
      <c r="B128" s="2" t="s">
        <v>2224</v>
      </c>
      <c r="C128" s="2" t="s">
        <v>1819</v>
      </c>
      <c r="D128" s="2" t="s">
        <v>2275</v>
      </c>
      <c r="E128" s="2" t="s">
        <v>2255</v>
      </c>
    </row>
    <row r="129" customFormat="false" ht="15" hidden="false" customHeight="false" outlineLevel="0" collapsed="false">
      <c r="A129" s="2" t="s">
        <v>2357</v>
      </c>
      <c r="B129" s="2" t="s">
        <v>2224</v>
      </c>
      <c r="C129" s="2" t="s">
        <v>1851</v>
      </c>
      <c r="D129" s="2" t="s">
        <v>2294</v>
      </c>
      <c r="E129" s="2" t="s">
        <v>2255</v>
      </c>
    </row>
    <row r="130" customFormat="false" ht="15" hidden="false" customHeight="false" outlineLevel="0" collapsed="false">
      <c r="A130" s="2" t="s">
        <v>2357</v>
      </c>
      <c r="B130" s="2" t="s">
        <v>2245</v>
      </c>
      <c r="C130" s="2" t="s">
        <v>1881</v>
      </c>
      <c r="D130" s="2" t="s">
        <v>2249</v>
      </c>
      <c r="E130" s="2" t="s">
        <v>2255</v>
      </c>
    </row>
    <row r="131" customFormat="false" ht="15" hidden="false" customHeight="false" outlineLevel="0" collapsed="false">
      <c r="A131" s="2" t="s">
        <v>2358</v>
      </c>
      <c r="B131" s="2" t="s">
        <v>2224</v>
      </c>
      <c r="C131" s="2" t="s">
        <v>1809</v>
      </c>
      <c r="D131" s="2" t="s">
        <v>2260</v>
      </c>
      <c r="E131" s="2" t="s">
        <v>2326</v>
      </c>
    </row>
    <row r="132" customFormat="false" ht="15" hidden="false" customHeight="false" outlineLevel="0" collapsed="false">
      <c r="A132" s="2" t="s">
        <v>2358</v>
      </c>
      <c r="B132" s="2" t="s">
        <v>2245</v>
      </c>
      <c r="C132" s="2" t="s">
        <v>1881</v>
      </c>
      <c r="D132" s="2" t="s">
        <v>2249</v>
      </c>
      <c r="E132" s="2" t="s">
        <v>2326</v>
      </c>
    </row>
    <row r="133" customFormat="false" ht="15" hidden="false" customHeight="false" outlineLevel="0" collapsed="false">
      <c r="A133" s="2" t="s">
        <v>2359</v>
      </c>
      <c r="B133" s="2" t="s">
        <v>2224</v>
      </c>
      <c r="C133" s="2" t="s">
        <v>1817</v>
      </c>
      <c r="D133" s="2" t="s">
        <v>2264</v>
      </c>
      <c r="E133" s="2" t="s">
        <v>2326</v>
      </c>
    </row>
    <row r="134" customFormat="false" ht="15" hidden="false" customHeight="false" outlineLevel="0" collapsed="false">
      <c r="A134" s="2" t="s">
        <v>2360</v>
      </c>
      <c r="B134" s="2" t="s">
        <v>2224</v>
      </c>
      <c r="C134" s="2" t="s">
        <v>1809</v>
      </c>
      <c r="D134" s="2" t="s">
        <v>2260</v>
      </c>
      <c r="E134" s="2" t="s">
        <v>2326</v>
      </c>
    </row>
    <row r="135" customFormat="false" ht="15" hidden="false" customHeight="false" outlineLevel="0" collapsed="false">
      <c r="A135" s="2" t="s">
        <v>2360</v>
      </c>
      <c r="B135" s="2" t="s">
        <v>2224</v>
      </c>
      <c r="C135" s="2" t="s">
        <v>1807</v>
      </c>
      <c r="D135" s="2" t="s">
        <v>2254</v>
      </c>
      <c r="E135" s="2" t="s">
        <v>2326</v>
      </c>
    </row>
    <row r="136" customFormat="false" ht="15" hidden="false" customHeight="false" outlineLevel="0" collapsed="false">
      <c r="A136" s="2" t="s">
        <v>2360</v>
      </c>
      <c r="B136" s="2" t="s">
        <v>2245</v>
      </c>
      <c r="C136" s="2" t="s">
        <v>1881</v>
      </c>
      <c r="D136" s="2" t="s">
        <v>2249</v>
      </c>
      <c r="E136" s="2" t="s">
        <v>2326</v>
      </c>
    </row>
    <row r="137" customFormat="false" ht="15" hidden="false" customHeight="false" outlineLevel="0" collapsed="false">
      <c r="A137" s="2" t="s">
        <v>2361</v>
      </c>
      <c r="B137" s="2" t="s">
        <v>2224</v>
      </c>
      <c r="C137" s="2" t="s">
        <v>1811</v>
      </c>
      <c r="D137" s="2" t="s">
        <v>2264</v>
      </c>
      <c r="E137" s="2" t="s">
        <v>2326</v>
      </c>
    </row>
    <row r="138" customFormat="false" ht="15" hidden="false" customHeight="false" outlineLevel="0" collapsed="false">
      <c r="A138" s="2" t="s">
        <v>2362</v>
      </c>
      <c r="B138" s="2" t="s">
        <v>2224</v>
      </c>
      <c r="C138" s="2" t="s">
        <v>1805</v>
      </c>
      <c r="D138" s="2" t="s">
        <v>2254</v>
      </c>
      <c r="E138" s="2" t="s">
        <v>2326</v>
      </c>
    </row>
    <row r="139" customFormat="false" ht="15" hidden="false" customHeight="false" outlineLevel="0" collapsed="false">
      <c r="A139" s="2" t="s">
        <v>2363</v>
      </c>
      <c r="B139" s="2" t="s">
        <v>2245</v>
      </c>
      <c r="C139" s="2" t="s">
        <v>1883</v>
      </c>
      <c r="D139" s="2" t="s">
        <v>2246</v>
      </c>
      <c r="E139" s="2" t="s">
        <v>2326</v>
      </c>
    </row>
    <row r="140" customFormat="false" ht="15" hidden="false" customHeight="false" outlineLevel="0" collapsed="false">
      <c r="A140" s="2" t="s">
        <v>2364</v>
      </c>
      <c r="B140" s="2" t="s">
        <v>2224</v>
      </c>
      <c r="C140" s="2" t="s">
        <v>1813</v>
      </c>
      <c r="D140" s="2" t="s">
        <v>2225</v>
      </c>
      <c r="E140" s="2" t="s">
        <v>2326</v>
      </c>
    </row>
    <row r="141" customFormat="false" ht="15" hidden="false" customHeight="false" outlineLevel="0" collapsed="false">
      <c r="A141" s="2" t="s">
        <v>2364</v>
      </c>
      <c r="B141" s="2" t="s">
        <v>2224</v>
      </c>
      <c r="C141" s="2" t="s">
        <v>1817</v>
      </c>
      <c r="D141" s="2" t="s">
        <v>2264</v>
      </c>
      <c r="E141" s="2" t="s">
        <v>2326</v>
      </c>
    </row>
    <row r="142" customFormat="false" ht="15" hidden="false" customHeight="false" outlineLevel="0" collapsed="false">
      <c r="A142" s="2" t="s">
        <v>2364</v>
      </c>
      <c r="B142" s="2" t="s">
        <v>2224</v>
      </c>
      <c r="C142" s="2" t="s">
        <v>1837</v>
      </c>
      <c r="D142" s="2" t="s">
        <v>2310</v>
      </c>
      <c r="E142" s="2" t="s">
        <v>2326</v>
      </c>
    </row>
    <row r="143" customFormat="false" ht="15" hidden="false" customHeight="false" outlineLevel="0" collapsed="false">
      <c r="A143" s="2" t="s">
        <v>2365</v>
      </c>
      <c r="B143" s="2" t="s">
        <v>2224</v>
      </c>
      <c r="C143" s="2" t="s">
        <v>1813</v>
      </c>
      <c r="D143" s="2" t="s">
        <v>2225</v>
      </c>
      <c r="E143" s="2" t="s">
        <v>2326</v>
      </c>
    </row>
    <row r="144" customFormat="false" ht="23.85" hidden="false" customHeight="false" outlineLevel="0" collapsed="false">
      <c r="A144" s="2" t="s">
        <v>2366</v>
      </c>
      <c r="B144" s="2" t="s">
        <v>2224</v>
      </c>
      <c r="C144" s="2" t="s">
        <v>1819</v>
      </c>
      <c r="D144" s="2" t="s">
        <v>2275</v>
      </c>
      <c r="E144" s="2" t="s">
        <v>2326</v>
      </c>
    </row>
    <row r="145" customFormat="false" ht="15" hidden="false" customHeight="false" outlineLevel="0" collapsed="false">
      <c r="A145" s="2" t="s">
        <v>2367</v>
      </c>
      <c r="B145" s="2" t="s">
        <v>2224</v>
      </c>
      <c r="C145" s="2" t="s">
        <v>1805</v>
      </c>
      <c r="D145" s="2" t="s">
        <v>2254</v>
      </c>
      <c r="E145" s="2" t="s">
        <v>2326</v>
      </c>
    </row>
    <row r="146" customFormat="false" ht="15" hidden="false" customHeight="false" outlineLevel="0" collapsed="false">
      <c r="A146" s="2" t="s">
        <v>2368</v>
      </c>
      <c r="B146" s="2" t="s">
        <v>2245</v>
      </c>
      <c r="C146" s="2" t="s">
        <v>1883</v>
      </c>
      <c r="D146" s="2" t="s">
        <v>2246</v>
      </c>
      <c r="E146" s="2" t="s">
        <v>2326</v>
      </c>
    </row>
    <row r="147" customFormat="false" ht="15" hidden="false" customHeight="false" outlineLevel="0" collapsed="false">
      <c r="A147" s="2" t="s">
        <v>2369</v>
      </c>
      <c r="B147" s="2" t="s">
        <v>2235</v>
      </c>
      <c r="C147" s="2" t="s">
        <v>2370</v>
      </c>
      <c r="D147" s="2" t="s">
        <v>2371</v>
      </c>
      <c r="E147" s="2" t="s">
        <v>2372</v>
      </c>
    </row>
    <row r="148" customFormat="false" ht="15" hidden="false" customHeight="false" outlineLevel="0" collapsed="false">
      <c r="A148" s="2" t="s">
        <v>2373</v>
      </c>
      <c r="B148" s="2" t="s">
        <v>2235</v>
      </c>
      <c r="C148" s="2" t="s">
        <v>2374</v>
      </c>
      <c r="D148" s="2" t="s">
        <v>2371</v>
      </c>
      <c r="E148" s="2" t="s">
        <v>2372</v>
      </c>
    </row>
    <row r="149" customFormat="false" ht="15" hidden="false" customHeight="false" outlineLevel="0" collapsed="false">
      <c r="A149" s="2" t="s">
        <v>2375</v>
      </c>
      <c r="B149" s="2" t="s">
        <v>2376</v>
      </c>
      <c r="C149" s="2" t="s">
        <v>2377</v>
      </c>
      <c r="D149" s="2" t="s">
        <v>2378</v>
      </c>
      <c r="E149" s="2" t="s">
        <v>2372</v>
      </c>
    </row>
    <row r="150" customFormat="false" ht="15" hidden="false" customHeight="false" outlineLevel="0" collapsed="false">
      <c r="A150" s="2" t="s">
        <v>2379</v>
      </c>
      <c r="B150" s="2" t="s">
        <v>2376</v>
      </c>
      <c r="C150" s="2" t="s">
        <v>2377</v>
      </c>
      <c r="D150" s="2" t="s">
        <v>2378</v>
      </c>
      <c r="E150" s="2" t="s">
        <v>2372</v>
      </c>
    </row>
    <row r="151" customFormat="false" ht="15" hidden="false" customHeight="false" outlineLevel="0" collapsed="false">
      <c r="A151" s="2" t="s">
        <v>2380</v>
      </c>
      <c r="B151" s="2" t="s">
        <v>2224</v>
      </c>
      <c r="C151" s="2" t="s">
        <v>1839</v>
      </c>
      <c r="D151" s="2" t="s">
        <v>2346</v>
      </c>
      <c r="E151" s="2" t="s">
        <v>2372</v>
      </c>
    </row>
    <row r="152" customFormat="false" ht="15" hidden="false" customHeight="false" outlineLevel="0" collapsed="false">
      <c r="A152" s="2" t="s">
        <v>2380</v>
      </c>
      <c r="B152" s="2" t="s">
        <v>2224</v>
      </c>
      <c r="C152" s="2" t="s">
        <v>1861</v>
      </c>
      <c r="D152" s="2" t="s">
        <v>2254</v>
      </c>
      <c r="E152" s="2" t="s">
        <v>2372</v>
      </c>
    </row>
    <row r="153" customFormat="false" ht="15" hidden="false" customHeight="false" outlineLevel="0" collapsed="false">
      <c r="A153" s="2" t="s">
        <v>2380</v>
      </c>
      <c r="B153" s="2" t="s">
        <v>2224</v>
      </c>
      <c r="C153" s="2" t="s">
        <v>1845</v>
      </c>
      <c r="D153" s="2" t="s">
        <v>2254</v>
      </c>
      <c r="E153" s="2" t="s">
        <v>2372</v>
      </c>
    </row>
    <row r="154" customFormat="false" ht="15" hidden="false" customHeight="false" outlineLevel="0" collapsed="false">
      <c r="A154" s="2" t="s">
        <v>2380</v>
      </c>
      <c r="B154" s="2" t="s">
        <v>2245</v>
      </c>
      <c r="C154" s="2" t="s">
        <v>1881</v>
      </c>
      <c r="D154" s="2" t="s">
        <v>2249</v>
      </c>
      <c r="E154" s="2" t="s">
        <v>2372</v>
      </c>
    </row>
    <row r="155" customFormat="false" ht="15" hidden="false" customHeight="false" outlineLevel="0" collapsed="false">
      <c r="A155" s="2" t="s">
        <v>2381</v>
      </c>
      <c r="B155" s="2" t="s">
        <v>2376</v>
      </c>
      <c r="C155" s="2" t="s">
        <v>2377</v>
      </c>
      <c r="D155" s="2" t="s">
        <v>2378</v>
      </c>
      <c r="E155" s="2" t="s">
        <v>2382</v>
      </c>
    </row>
    <row r="156" customFormat="false" ht="15" hidden="false" customHeight="false" outlineLevel="0" collapsed="false">
      <c r="A156" s="2" t="s">
        <v>2383</v>
      </c>
      <c r="B156" s="2" t="s">
        <v>2224</v>
      </c>
      <c r="C156" s="2" t="s">
        <v>1813</v>
      </c>
      <c r="D156" s="2" t="s">
        <v>2225</v>
      </c>
      <c r="E156" s="2" t="s">
        <v>2347</v>
      </c>
    </row>
    <row r="157" customFormat="false" ht="15" hidden="false" customHeight="false" outlineLevel="0" collapsed="false">
      <c r="A157" s="2" t="s">
        <v>2383</v>
      </c>
      <c r="B157" s="2" t="s">
        <v>2224</v>
      </c>
      <c r="C157" s="2" t="s">
        <v>1837</v>
      </c>
      <c r="D157" s="2" t="s">
        <v>2310</v>
      </c>
      <c r="E157" s="2" t="s">
        <v>2347</v>
      </c>
    </row>
    <row r="158" customFormat="false" ht="15" hidden="false" customHeight="false" outlineLevel="0" collapsed="false">
      <c r="A158" s="2" t="s">
        <v>2383</v>
      </c>
      <c r="B158" s="2" t="s">
        <v>2224</v>
      </c>
      <c r="C158" s="2" t="s">
        <v>1827</v>
      </c>
      <c r="D158" s="2" t="s">
        <v>2264</v>
      </c>
      <c r="E158" s="2" t="s">
        <v>2347</v>
      </c>
    </row>
    <row r="159" customFormat="false" ht="15" hidden="false" customHeight="false" outlineLevel="0" collapsed="false">
      <c r="A159" s="2" t="s">
        <v>2384</v>
      </c>
      <c r="B159" s="2" t="s">
        <v>2224</v>
      </c>
      <c r="C159" s="2" t="s">
        <v>1807</v>
      </c>
      <c r="D159" s="2" t="s">
        <v>2254</v>
      </c>
      <c r="E159" s="2" t="s">
        <v>2347</v>
      </c>
    </row>
    <row r="160" customFormat="false" ht="15" hidden="false" customHeight="false" outlineLevel="0" collapsed="false">
      <c r="A160" s="2" t="s">
        <v>2385</v>
      </c>
      <c r="B160" s="2" t="s">
        <v>2224</v>
      </c>
      <c r="C160" s="2" t="s">
        <v>1809</v>
      </c>
      <c r="D160" s="2" t="s">
        <v>2260</v>
      </c>
      <c r="E160" s="2" t="s">
        <v>2298</v>
      </c>
    </row>
    <row r="161" customFormat="false" ht="15" hidden="false" customHeight="false" outlineLevel="0" collapsed="false">
      <c r="A161" s="2" t="s">
        <v>2385</v>
      </c>
      <c r="B161" s="2" t="s">
        <v>2224</v>
      </c>
      <c r="C161" s="2" t="s">
        <v>1851</v>
      </c>
      <c r="D161" s="2" t="s">
        <v>2294</v>
      </c>
      <c r="E161" s="2" t="s">
        <v>2298</v>
      </c>
    </row>
    <row r="162" customFormat="false" ht="15" hidden="false" customHeight="false" outlineLevel="0" collapsed="false">
      <c r="A162" s="2" t="s">
        <v>2386</v>
      </c>
      <c r="B162" s="2" t="s">
        <v>2224</v>
      </c>
      <c r="C162" s="2" t="s">
        <v>1811</v>
      </c>
      <c r="D162" s="2" t="s">
        <v>2264</v>
      </c>
      <c r="E162" s="2" t="s">
        <v>2298</v>
      </c>
    </row>
    <row r="163" customFormat="false" ht="15" hidden="false" customHeight="false" outlineLevel="0" collapsed="false">
      <c r="A163" s="2" t="s">
        <v>2387</v>
      </c>
      <c r="B163" s="2" t="s">
        <v>2224</v>
      </c>
      <c r="C163" s="2" t="s">
        <v>1805</v>
      </c>
      <c r="D163" s="2" t="s">
        <v>2254</v>
      </c>
      <c r="E163" s="2" t="s">
        <v>2298</v>
      </c>
    </row>
    <row r="164" customFormat="false" ht="15" hidden="false" customHeight="false" outlineLevel="0" collapsed="false">
      <c r="A164" s="2" t="s">
        <v>2388</v>
      </c>
      <c r="B164" s="2" t="s">
        <v>2224</v>
      </c>
      <c r="C164" s="2" t="s">
        <v>1807</v>
      </c>
      <c r="D164" s="2" t="s">
        <v>2254</v>
      </c>
      <c r="E164" s="2" t="s">
        <v>2298</v>
      </c>
    </row>
    <row r="165" customFormat="false" ht="15" hidden="false" customHeight="false" outlineLevel="0" collapsed="false">
      <c r="A165" s="2" t="s">
        <v>2389</v>
      </c>
      <c r="B165" s="2" t="s">
        <v>2224</v>
      </c>
      <c r="C165" s="2" t="s">
        <v>1807</v>
      </c>
      <c r="D165" s="2" t="s">
        <v>2254</v>
      </c>
      <c r="E165" s="2" t="s">
        <v>2298</v>
      </c>
    </row>
    <row r="166" customFormat="false" ht="15" hidden="false" customHeight="false" outlineLevel="0" collapsed="false">
      <c r="A166" s="2" t="s">
        <v>2390</v>
      </c>
      <c r="B166" s="2" t="s">
        <v>2245</v>
      </c>
      <c r="C166" s="2" t="s">
        <v>1885</v>
      </c>
      <c r="D166" s="2" t="s">
        <v>2331</v>
      </c>
      <c r="E166" s="2" t="s">
        <v>2298</v>
      </c>
    </row>
    <row r="167" customFormat="false" ht="15" hidden="false" customHeight="false" outlineLevel="0" collapsed="false">
      <c r="A167" s="2" t="s">
        <v>2391</v>
      </c>
      <c r="B167" s="2" t="s">
        <v>2245</v>
      </c>
      <c r="C167" s="2" t="s">
        <v>1881</v>
      </c>
      <c r="D167" s="2" t="s">
        <v>2249</v>
      </c>
      <c r="E167" s="2" t="s">
        <v>2298</v>
      </c>
    </row>
    <row r="168" customFormat="false" ht="15" hidden="false" customHeight="false" outlineLevel="0" collapsed="false">
      <c r="A168" s="2" t="s">
        <v>2392</v>
      </c>
      <c r="B168" s="2" t="s">
        <v>2224</v>
      </c>
      <c r="C168" s="2" t="s">
        <v>1809</v>
      </c>
      <c r="D168" s="2" t="s">
        <v>2260</v>
      </c>
      <c r="E168" s="2" t="s">
        <v>2298</v>
      </c>
    </row>
    <row r="169" customFormat="false" ht="15" hidden="false" customHeight="false" outlineLevel="0" collapsed="false">
      <c r="A169" s="2" t="s">
        <v>2393</v>
      </c>
      <c r="B169" s="2" t="s">
        <v>2224</v>
      </c>
      <c r="C169" s="2" t="s">
        <v>1809</v>
      </c>
      <c r="D169" s="2" t="s">
        <v>2260</v>
      </c>
      <c r="E169" s="2" t="s">
        <v>2298</v>
      </c>
    </row>
    <row r="170" customFormat="false" ht="15" hidden="false" customHeight="false" outlineLevel="0" collapsed="false">
      <c r="A170" s="2" t="s">
        <v>2394</v>
      </c>
      <c r="B170" s="2" t="s">
        <v>2224</v>
      </c>
      <c r="C170" s="2" t="s">
        <v>1829</v>
      </c>
      <c r="D170" s="2" t="s">
        <v>2254</v>
      </c>
      <c r="E170" s="2" t="s">
        <v>2298</v>
      </c>
    </row>
    <row r="171" customFormat="false" ht="23.85" hidden="false" customHeight="false" outlineLevel="0" collapsed="false">
      <c r="A171" s="2" t="s">
        <v>2395</v>
      </c>
      <c r="B171" s="2" t="s">
        <v>2224</v>
      </c>
      <c r="C171" s="2" t="s">
        <v>1819</v>
      </c>
      <c r="D171" s="2" t="s">
        <v>2275</v>
      </c>
      <c r="E171" s="2" t="s">
        <v>2298</v>
      </c>
    </row>
    <row r="172" customFormat="false" ht="15" hidden="false" customHeight="false" outlineLevel="0" collapsed="false">
      <c r="A172" s="2" t="s">
        <v>2396</v>
      </c>
      <c r="B172" s="2" t="s">
        <v>2224</v>
      </c>
      <c r="C172" s="2" t="s">
        <v>1807</v>
      </c>
      <c r="D172" s="2" t="s">
        <v>2254</v>
      </c>
      <c r="E172" s="2" t="s">
        <v>2298</v>
      </c>
    </row>
    <row r="173" customFormat="false" ht="15" hidden="false" customHeight="false" outlineLevel="0" collapsed="false">
      <c r="A173" s="2" t="s">
        <v>2397</v>
      </c>
      <c r="B173" s="2" t="s">
        <v>2224</v>
      </c>
      <c r="C173" s="2" t="s">
        <v>1807</v>
      </c>
      <c r="D173" s="2" t="s">
        <v>2254</v>
      </c>
      <c r="E173" s="2" t="s">
        <v>2298</v>
      </c>
    </row>
    <row r="174" customFormat="false" ht="15" hidden="false" customHeight="false" outlineLevel="0" collapsed="false">
      <c r="A174" s="2" t="s">
        <v>2398</v>
      </c>
      <c r="B174" s="2" t="s">
        <v>2224</v>
      </c>
      <c r="C174" s="2" t="s">
        <v>1805</v>
      </c>
      <c r="D174" s="2" t="s">
        <v>2254</v>
      </c>
      <c r="E174" s="2" t="s">
        <v>2298</v>
      </c>
    </row>
    <row r="175" customFormat="false" ht="15" hidden="false" customHeight="false" outlineLevel="0" collapsed="false">
      <c r="A175" s="2" t="s">
        <v>2399</v>
      </c>
      <c r="B175" s="2" t="s">
        <v>2224</v>
      </c>
      <c r="C175" s="2" t="s">
        <v>1809</v>
      </c>
      <c r="D175" s="2" t="s">
        <v>2260</v>
      </c>
      <c r="E175" s="2" t="s">
        <v>2298</v>
      </c>
    </row>
    <row r="176" customFormat="false" ht="15" hidden="false" customHeight="false" outlineLevel="0" collapsed="false">
      <c r="A176" s="2" t="s">
        <v>2400</v>
      </c>
      <c r="B176" s="2" t="s">
        <v>2224</v>
      </c>
      <c r="C176" s="2" t="s">
        <v>1805</v>
      </c>
      <c r="D176" s="2" t="s">
        <v>2254</v>
      </c>
      <c r="E176" s="2" t="s">
        <v>2298</v>
      </c>
    </row>
    <row r="177" customFormat="false" ht="15" hidden="false" customHeight="false" outlineLevel="0" collapsed="false">
      <c r="A177" s="2" t="s">
        <v>2400</v>
      </c>
      <c r="B177" s="2" t="s">
        <v>2224</v>
      </c>
      <c r="C177" s="2" t="s">
        <v>1811</v>
      </c>
      <c r="D177" s="2" t="s">
        <v>2264</v>
      </c>
      <c r="E177" s="2" t="s">
        <v>2298</v>
      </c>
    </row>
    <row r="178" customFormat="false" ht="15" hidden="false" customHeight="false" outlineLevel="0" collapsed="false">
      <c r="A178" s="2" t="s">
        <v>2401</v>
      </c>
      <c r="B178" s="2" t="s">
        <v>2224</v>
      </c>
      <c r="C178" s="2" t="s">
        <v>1853</v>
      </c>
      <c r="D178" s="2" t="s">
        <v>2225</v>
      </c>
      <c r="E178" s="2" t="s">
        <v>2347</v>
      </c>
    </row>
    <row r="179" customFormat="false" ht="15" hidden="false" customHeight="false" outlineLevel="0" collapsed="false">
      <c r="A179" s="2" t="s">
        <v>2401</v>
      </c>
      <c r="B179" s="2" t="s">
        <v>2224</v>
      </c>
      <c r="C179" s="2" t="s">
        <v>1841</v>
      </c>
      <c r="D179" s="2" t="s">
        <v>2349</v>
      </c>
      <c r="E179" s="2" t="s">
        <v>2347</v>
      </c>
    </row>
    <row r="180" customFormat="false" ht="15" hidden="false" customHeight="false" outlineLevel="0" collapsed="false">
      <c r="A180" s="2" t="s">
        <v>2402</v>
      </c>
      <c r="B180" s="2" t="s">
        <v>2224</v>
      </c>
      <c r="C180" s="2" t="s">
        <v>1855</v>
      </c>
      <c r="D180" s="2" t="s">
        <v>2260</v>
      </c>
      <c r="E180" s="2" t="s">
        <v>2347</v>
      </c>
    </row>
    <row r="181" customFormat="false" ht="15" hidden="false" customHeight="false" outlineLevel="0" collapsed="false">
      <c r="A181" s="2" t="s">
        <v>2402</v>
      </c>
      <c r="B181" s="2" t="s">
        <v>2224</v>
      </c>
      <c r="C181" s="2" t="s">
        <v>1856</v>
      </c>
      <c r="D181" s="2" t="s">
        <v>2403</v>
      </c>
      <c r="E181" s="2" t="s">
        <v>2347</v>
      </c>
    </row>
    <row r="182" customFormat="false" ht="15" hidden="false" customHeight="false" outlineLevel="0" collapsed="false">
      <c r="A182" s="2" t="s">
        <v>2404</v>
      </c>
      <c r="B182" s="2" t="s">
        <v>2224</v>
      </c>
      <c r="C182" s="2" t="s">
        <v>1847</v>
      </c>
      <c r="D182" s="2" t="s">
        <v>2254</v>
      </c>
      <c r="E182" s="2" t="s">
        <v>2347</v>
      </c>
    </row>
    <row r="183" customFormat="false" ht="15" hidden="false" customHeight="false" outlineLevel="0" collapsed="false">
      <c r="A183" s="2" t="s">
        <v>2405</v>
      </c>
      <c r="B183" s="2" t="s">
        <v>2224</v>
      </c>
      <c r="C183" s="2" t="s">
        <v>1815</v>
      </c>
      <c r="D183" s="2" t="s">
        <v>2251</v>
      </c>
      <c r="E183" s="2" t="s">
        <v>2347</v>
      </c>
    </row>
    <row r="184" customFormat="false" ht="15" hidden="false" customHeight="false" outlineLevel="0" collapsed="false">
      <c r="A184" s="2" t="s">
        <v>2406</v>
      </c>
      <c r="B184" s="2" t="s">
        <v>2224</v>
      </c>
      <c r="C184" s="2" t="s">
        <v>1837</v>
      </c>
      <c r="D184" s="2" t="s">
        <v>2310</v>
      </c>
      <c r="E184" s="2" t="s">
        <v>2347</v>
      </c>
    </row>
    <row r="185" customFormat="false" ht="15" hidden="false" customHeight="false" outlineLevel="0" collapsed="false">
      <c r="A185" s="2" t="s">
        <v>2407</v>
      </c>
      <c r="B185" s="2" t="s">
        <v>2245</v>
      </c>
      <c r="C185" s="2" t="s">
        <v>1883</v>
      </c>
      <c r="D185" s="2" t="s">
        <v>2246</v>
      </c>
      <c r="E185" s="2" t="s">
        <v>2347</v>
      </c>
    </row>
    <row r="186" customFormat="false" ht="15" hidden="false" customHeight="false" outlineLevel="0" collapsed="false">
      <c r="A186" s="2" t="s">
        <v>2408</v>
      </c>
      <c r="B186" s="2" t="s">
        <v>2224</v>
      </c>
      <c r="C186" s="2" t="s">
        <v>1862</v>
      </c>
      <c r="D186" s="2" t="s">
        <v>2409</v>
      </c>
      <c r="E186" s="2" t="s">
        <v>2347</v>
      </c>
    </row>
    <row r="187" customFormat="false" ht="15" hidden="false" customHeight="false" outlineLevel="0" collapsed="false">
      <c r="A187" s="2" t="s">
        <v>2408</v>
      </c>
      <c r="B187" s="2" t="s">
        <v>2245</v>
      </c>
      <c r="C187" s="2" t="s">
        <v>1883</v>
      </c>
      <c r="D187" s="2" t="s">
        <v>2246</v>
      </c>
      <c r="E187" s="2" t="s">
        <v>2347</v>
      </c>
    </row>
    <row r="188" customFormat="false" ht="15" hidden="false" customHeight="false" outlineLevel="0" collapsed="false">
      <c r="A188" s="2" t="s">
        <v>2410</v>
      </c>
      <c r="B188" s="2" t="s">
        <v>2224</v>
      </c>
      <c r="C188" s="2" t="s">
        <v>1853</v>
      </c>
      <c r="D188" s="2" t="s">
        <v>2225</v>
      </c>
      <c r="E188" s="2" t="s">
        <v>2347</v>
      </c>
    </row>
    <row r="189" customFormat="false" ht="15" hidden="false" customHeight="false" outlineLevel="0" collapsed="false">
      <c r="A189" s="2" t="s">
        <v>2410</v>
      </c>
      <c r="B189" s="2" t="s">
        <v>2224</v>
      </c>
      <c r="C189" s="2" t="s">
        <v>1841</v>
      </c>
      <c r="D189" s="2" t="s">
        <v>2349</v>
      </c>
      <c r="E189" s="2" t="s">
        <v>2347</v>
      </c>
    </row>
    <row r="190" customFormat="false" ht="15" hidden="false" customHeight="false" outlineLevel="0" collapsed="false">
      <c r="A190" s="2" t="s">
        <v>2411</v>
      </c>
      <c r="B190" s="2" t="s">
        <v>2224</v>
      </c>
      <c r="C190" s="2" t="s">
        <v>1855</v>
      </c>
      <c r="D190" s="2" t="s">
        <v>2260</v>
      </c>
      <c r="E190" s="2" t="s">
        <v>2347</v>
      </c>
    </row>
    <row r="191" customFormat="false" ht="15" hidden="false" customHeight="false" outlineLevel="0" collapsed="false">
      <c r="A191" s="2" t="s">
        <v>2411</v>
      </c>
      <c r="B191" s="2" t="s">
        <v>2224</v>
      </c>
      <c r="C191" s="2" t="s">
        <v>1856</v>
      </c>
      <c r="D191" s="2" t="s">
        <v>2403</v>
      </c>
      <c r="E191" s="2" t="s">
        <v>2347</v>
      </c>
    </row>
    <row r="192" customFormat="false" ht="15" hidden="false" customHeight="false" outlineLevel="0" collapsed="false">
      <c r="A192" s="2" t="s">
        <v>2412</v>
      </c>
      <c r="B192" s="2" t="s">
        <v>2224</v>
      </c>
      <c r="C192" s="2" t="s">
        <v>1847</v>
      </c>
      <c r="D192" s="2" t="s">
        <v>2254</v>
      </c>
      <c r="E192" s="2" t="s">
        <v>2347</v>
      </c>
    </row>
    <row r="193" customFormat="false" ht="15" hidden="false" customHeight="false" outlineLevel="0" collapsed="false">
      <c r="A193" s="2" t="s">
        <v>2413</v>
      </c>
      <c r="B193" s="2" t="s">
        <v>2224</v>
      </c>
      <c r="C193" s="2" t="s">
        <v>1815</v>
      </c>
      <c r="D193" s="2" t="s">
        <v>2251</v>
      </c>
      <c r="E193" s="2" t="s">
        <v>2347</v>
      </c>
    </row>
    <row r="194" customFormat="false" ht="23.85" hidden="false" customHeight="false" outlineLevel="0" collapsed="false">
      <c r="A194" s="2" t="s">
        <v>2414</v>
      </c>
      <c r="B194" s="2" t="s">
        <v>2224</v>
      </c>
      <c r="C194" s="2" t="s">
        <v>1819</v>
      </c>
      <c r="D194" s="2" t="s">
        <v>2275</v>
      </c>
      <c r="E194" s="2" t="s">
        <v>2326</v>
      </c>
    </row>
    <row r="195" customFormat="false" ht="15" hidden="false" customHeight="false" outlineLevel="0" collapsed="false">
      <c r="A195" s="2" t="s">
        <v>2414</v>
      </c>
      <c r="B195" s="2" t="s">
        <v>2224</v>
      </c>
      <c r="C195" s="2" t="s">
        <v>1821</v>
      </c>
      <c r="D195" s="2" t="s">
        <v>2225</v>
      </c>
      <c r="E195" s="2" t="s">
        <v>2326</v>
      </c>
    </row>
    <row r="196" customFormat="false" ht="15" hidden="false" customHeight="false" outlineLevel="0" collapsed="false">
      <c r="A196" s="2" t="s">
        <v>2415</v>
      </c>
      <c r="B196" s="2" t="s">
        <v>2224</v>
      </c>
      <c r="C196" s="2" t="s">
        <v>1813</v>
      </c>
      <c r="D196" s="2" t="s">
        <v>2225</v>
      </c>
      <c r="E196" s="2" t="s">
        <v>2326</v>
      </c>
    </row>
    <row r="197" customFormat="false" ht="15" hidden="false" customHeight="false" outlineLevel="0" collapsed="false">
      <c r="A197" s="2" t="s">
        <v>2415</v>
      </c>
      <c r="B197" s="2" t="s">
        <v>2224</v>
      </c>
      <c r="C197" s="2" t="s">
        <v>1829</v>
      </c>
      <c r="D197" s="2" t="s">
        <v>2254</v>
      </c>
      <c r="E197" s="2" t="s">
        <v>2326</v>
      </c>
    </row>
    <row r="198" customFormat="false" ht="15" hidden="false" customHeight="false" outlineLevel="0" collapsed="false">
      <c r="A198" s="2" t="s">
        <v>2416</v>
      </c>
      <c r="B198" s="2" t="s">
        <v>2224</v>
      </c>
      <c r="C198" s="2" t="s">
        <v>1807</v>
      </c>
      <c r="D198" s="2" t="s">
        <v>2254</v>
      </c>
      <c r="E198" s="2" t="s">
        <v>2326</v>
      </c>
    </row>
    <row r="199" customFormat="false" ht="15" hidden="false" customHeight="false" outlineLevel="0" collapsed="false">
      <c r="A199" s="2" t="s">
        <v>2417</v>
      </c>
      <c r="B199" s="2" t="s">
        <v>2224</v>
      </c>
      <c r="C199" s="2" t="s">
        <v>1829</v>
      </c>
      <c r="D199" s="2" t="s">
        <v>2254</v>
      </c>
      <c r="E199" s="2" t="s">
        <v>2326</v>
      </c>
    </row>
    <row r="200" customFormat="false" ht="35.05" hidden="false" customHeight="false" outlineLevel="0" collapsed="false">
      <c r="A200" s="2" t="s">
        <v>2417</v>
      </c>
      <c r="B200" s="2" t="s">
        <v>2228</v>
      </c>
      <c r="C200" s="2" t="s">
        <v>2144</v>
      </c>
      <c r="D200" s="2" t="s">
        <v>2229</v>
      </c>
      <c r="E200" s="2" t="s">
        <v>2326</v>
      </c>
    </row>
    <row r="201" customFormat="false" ht="35.05" hidden="false" customHeight="false" outlineLevel="0" collapsed="false">
      <c r="A201" s="2" t="s">
        <v>2418</v>
      </c>
      <c r="B201" s="2" t="s">
        <v>2228</v>
      </c>
      <c r="C201" s="2" t="s">
        <v>2144</v>
      </c>
      <c r="D201" s="2" t="s">
        <v>2229</v>
      </c>
      <c r="E201" s="2" t="s">
        <v>2326</v>
      </c>
    </row>
    <row r="202" customFormat="false" ht="15" hidden="false" customHeight="false" outlineLevel="0" collapsed="false">
      <c r="A202" s="2" t="s">
        <v>2419</v>
      </c>
      <c r="B202" s="2" t="s">
        <v>2224</v>
      </c>
      <c r="C202" s="2" t="s">
        <v>1809</v>
      </c>
      <c r="D202" s="2" t="s">
        <v>2260</v>
      </c>
      <c r="E202" s="2" t="s">
        <v>2326</v>
      </c>
    </row>
    <row r="203" customFormat="false" ht="15" hidden="false" customHeight="false" outlineLevel="0" collapsed="false">
      <c r="A203" s="2" t="s">
        <v>2419</v>
      </c>
      <c r="B203" s="2" t="s">
        <v>2245</v>
      </c>
      <c r="C203" s="2" t="s">
        <v>1881</v>
      </c>
      <c r="D203" s="2" t="s">
        <v>2249</v>
      </c>
      <c r="E203" s="2" t="s">
        <v>2326</v>
      </c>
    </row>
    <row r="204" customFormat="false" ht="23.85" hidden="false" customHeight="false" outlineLevel="0" collapsed="false">
      <c r="A204" s="2" t="s">
        <v>2420</v>
      </c>
      <c r="B204" s="2" t="s">
        <v>2224</v>
      </c>
      <c r="C204" s="2" t="s">
        <v>1857</v>
      </c>
      <c r="D204" s="2" t="s">
        <v>2262</v>
      </c>
      <c r="E204" s="2" t="s">
        <v>2326</v>
      </c>
    </row>
    <row r="205" customFormat="false" ht="23.85" hidden="false" customHeight="false" outlineLevel="0" collapsed="false">
      <c r="A205" s="2" t="s">
        <v>2420</v>
      </c>
      <c r="B205" s="2" t="s">
        <v>2224</v>
      </c>
      <c r="C205" s="2" t="s">
        <v>1858</v>
      </c>
      <c r="D205" s="2" t="s">
        <v>2262</v>
      </c>
      <c r="E205" s="2" t="s">
        <v>2326</v>
      </c>
    </row>
    <row r="206" customFormat="false" ht="35.05" hidden="false" customHeight="false" outlineLevel="0" collapsed="false">
      <c r="A206" s="2" t="s">
        <v>2420</v>
      </c>
      <c r="B206" s="2" t="s">
        <v>2228</v>
      </c>
      <c r="C206" s="2" t="s">
        <v>2153</v>
      </c>
      <c r="D206" s="2" t="s">
        <v>2229</v>
      </c>
      <c r="E206" s="2" t="s">
        <v>2326</v>
      </c>
    </row>
    <row r="207" customFormat="false" ht="23.85" hidden="false" customHeight="false" outlineLevel="0" collapsed="false">
      <c r="A207" s="2" t="s">
        <v>2421</v>
      </c>
      <c r="B207" s="2" t="s">
        <v>2224</v>
      </c>
      <c r="C207" s="2" t="s">
        <v>1835</v>
      </c>
      <c r="D207" s="2" t="s">
        <v>2262</v>
      </c>
      <c r="E207" s="2" t="s">
        <v>2326</v>
      </c>
    </row>
    <row r="208" customFormat="false" ht="15" hidden="false" customHeight="false" outlineLevel="0" collapsed="false">
      <c r="A208" s="2" t="s">
        <v>2422</v>
      </c>
      <c r="B208" s="2" t="s">
        <v>2224</v>
      </c>
      <c r="C208" s="2" t="s">
        <v>1811</v>
      </c>
      <c r="D208" s="2" t="s">
        <v>2264</v>
      </c>
      <c r="E208" s="2" t="s">
        <v>2326</v>
      </c>
    </row>
    <row r="209" customFormat="false" ht="15" hidden="false" customHeight="false" outlineLevel="0" collapsed="false">
      <c r="A209" s="2" t="s">
        <v>2423</v>
      </c>
      <c r="B209" s="2" t="s">
        <v>2224</v>
      </c>
      <c r="C209" s="2" t="s">
        <v>1807</v>
      </c>
      <c r="D209" s="2" t="s">
        <v>2254</v>
      </c>
      <c r="E209" s="2" t="s">
        <v>2326</v>
      </c>
    </row>
    <row r="210" customFormat="false" ht="15" hidden="false" customHeight="false" outlineLevel="0" collapsed="false">
      <c r="A210" s="2" t="s">
        <v>2424</v>
      </c>
      <c r="B210" s="2" t="s">
        <v>2245</v>
      </c>
      <c r="C210" s="2" t="s">
        <v>1883</v>
      </c>
      <c r="D210" s="2" t="s">
        <v>2246</v>
      </c>
      <c r="E210" s="2" t="s">
        <v>2326</v>
      </c>
    </row>
    <row r="211" customFormat="false" ht="35.05" hidden="false" customHeight="false" outlineLevel="0" collapsed="false">
      <c r="A211" s="2" t="s">
        <v>2424</v>
      </c>
      <c r="B211" s="2" t="s">
        <v>2228</v>
      </c>
      <c r="C211" s="2" t="s">
        <v>2144</v>
      </c>
      <c r="D211" s="2" t="s">
        <v>2229</v>
      </c>
      <c r="E211" s="2" t="s">
        <v>2326</v>
      </c>
    </row>
    <row r="212" customFormat="false" ht="15" hidden="false" customHeight="false" outlineLevel="0" collapsed="false">
      <c r="A212" s="2" t="s">
        <v>2425</v>
      </c>
      <c r="B212" s="2" t="s">
        <v>2224</v>
      </c>
      <c r="C212" s="2" t="s">
        <v>1809</v>
      </c>
      <c r="D212" s="2" t="s">
        <v>2260</v>
      </c>
      <c r="E212" s="2" t="s">
        <v>2326</v>
      </c>
    </row>
    <row r="213" customFormat="false" ht="15" hidden="false" customHeight="false" outlineLevel="0" collapsed="false">
      <c r="A213" s="2" t="s">
        <v>2425</v>
      </c>
      <c r="B213" s="2" t="s">
        <v>2245</v>
      </c>
      <c r="C213" s="2" t="s">
        <v>1881</v>
      </c>
      <c r="D213" s="2" t="s">
        <v>2249</v>
      </c>
      <c r="E213" s="2" t="s">
        <v>2326</v>
      </c>
    </row>
    <row r="214" customFormat="false" ht="23.85" hidden="false" customHeight="false" outlineLevel="0" collapsed="false">
      <c r="A214" s="2" t="s">
        <v>2426</v>
      </c>
      <c r="B214" s="2" t="s">
        <v>2224</v>
      </c>
      <c r="C214" s="2" t="s">
        <v>1857</v>
      </c>
      <c r="D214" s="2" t="s">
        <v>2262</v>
      </c>
      <c r="E214" s="2" t="s">
        <v>2326</v>
      </c>
    </row>
    <row r="215" customFormat="false" ht="23.85" hidden="false" customHeight="false" outlineLevel="0" collapsed="false">
      <c r="A215" s="2" t="s">
        <v>2426</v>
      </c>
      <c r="B215" s="2" t="s">
        <v>2224</v>
      </c>
      <c r="C215" s="2" t="s">
        <v>1864</v>
      </c>
      <c r="D215" s="2" t="s">
        <v>2262</v>
      </c>
      <c r="E215" s="2" t="s">
        <v>2326</v>
      </c>
    </row>
    <row r="216" customFormat="false" ht="35.05" hidden="false" customHeight="false" outlineLevel="0" collapsed="false">
      <c r="A216" s="2" t="s">
        <v>2426</v>
      </c>
      <c r="B216" s="2" t="s">
        <v>2228</v>
      </c>
      <c r="C216" s="2" t="s">
        <v>2153</v>
      </c>
      <c r="D216" s="2" t="s">
        <v>2229</v>
      </c>
      <c r="E216" s="2" t="s">
        <v>2326</v>
      </c>
    </row>
    <row r="217" customFormat="false" ht="23.85" hidden="false" customHeight="false" outlineLevel="0" collapsed="false">
      <c r="A217" s="2" t="s">
        <v>2427</v>
      </c>
      <c r="B217" s="2" t="s">
        <v>2224</v>
      </c>
      <c r="C217" s="2" t="s">
        <v>1865</v>
      </c>
      <c r="D217" s="2" t="s">
        <v>2262</v>
      </c>
      <c r="E217" s="2" t="s">
        <v>2326</v>
      </c>
    </row>
    <row r="218" customFormat="false" ht="23.85" hidden="false" customHeight="false" outlineLevel="0" collapsed="false">
      <c r="A218" s="2" t="s">
        <v>2427</v>
      </c>
      <c r="B218" s="2" t="s">
        <v>2224</v>
      </c>
      <c r="C218" s="2" t="s">
        <v>1835</v>
      </c>
      <c r="D218" s="2" t="s">
        <v>2262</v>
      </c>
      <c r="E218" s="2" t="s">
        <v>2326</v>
      </c>
    </row>
    <row r="219" customFormat="false" ht="23.85" hidden="false" customHeight="false" outlineLevel="0" collapsed="false">
      <c r="A219" s="2" t="s">
        <v>2428</v>
      </c>
      <c r="B219" s="2" t="s">
        <v>2224</v>
      </c>
      <c r="C219" s="2" t="s">
        <v>1858</v>
      </c>
      <c r="D219" s="2" t="s">
        <v>2262</v>
      </c>
      <c r="E219" s="2" t="s">
        <v>2326</v>
      </c>
    </row>
    <row r="220" customFormat="false" ht="35.05" hidden="false" customHeight="false" outlineLevel="0" collapsed="false">
      <c r="A220" s="2" t="s">
        <v>2428</v>
      </c>
      <c r="B220" s="2" t="s">
        <v>2228</v>
      </c>
      <c r="C220" s="2" t="s">
        <v>2144</v>
      </c>
      <c r="D220" s="2" t="s">
        <v>2229</v>
      </c>
      <c r="E220" s="2" t="s">
        <v>2326</v>
      </c>
    </row>
    <row r="221" customFormat="false" ht="23.85" hidden="false" customHeight="false" outlineLevel="0" collapsed="false">
      <c r="A221" s="2" t="s">
        <v>2429</v>
      </c>
      <c r="B221" s="2" t="s">
        <v>2224</v>
      </c>
      <c r="C221" s="2" t="s">
        <v>1866</v>
      </c>
      <c r="D221" s="2" t="s">
        <v>2262</v>
      </c>
      <c r="E221" s="2" t="s">
        <v>2326</v>
      </c>
    </row>
    <row r="222" customFormat="false" ht="23.85" hidden="false" customHeight="false" outlineLevel="0" collapsed="false">
      <c r="A222" s="2" t="s">
        <v>2429</v>
      </c>
      <c r="B222" s="2" t="s">
        <v>2224</v>
      </c>
      <c r="C222" s="2" t="s">
        <v>1867</v>
      </c>
      <c r="D222" s="2" t="s">
        <v>2262</v>
      </c>
      <c r="E222" s="2" t="s">
        <v>2326</v>
      </c>
    </row>
    <row r="223" customFormat="false" ht="15" hidden="false" customHeight="false" outlineLevel="0" collapsed="false">
      <c r="A223" s="2" t="s">
        <v>2430</v>
      </c>
      <c r="B223" s="2" t="s">
        <v>2224</v>
      </c>
      <c r="C223" s="2" t="s">
        <v>1811</v>
      </c>
      <c r="D223" s="2" t="s">
        <v>2264</v>
      </c>
      <c r="E223" s="2" t="s">
        <v>2326</v>
      </c>
    </row>
    <row r="224" customFormat="false" ht="15" hidden="false" customHeight="false" outlineLevel="0" collapsed="false">
      <c r="A224" s="2" t="s">
        <v>2431</v>
      </c>
      <c r="B224" s="2" t="s">
        <v>2224</v>
      </c>
      <c r="C224" s="2" t="s">
        <v>1805</v>
      </c>
      <c r="D224" s="2" t="s">
        <v>2254</v>
      </c>
      <c r="E224" s="2" t="s">
        <v>2326</v>
      </c>
    </row>
    <row r="225" customFormat="false" ht="15" hidden="false" customHeight="false" outlineLevel="0" collapsed="false">
      <c r="A225" s="2" t="s">
        <v>2432</v>
      </c>
      <c r="B225" s="2" t="s">
        <v>2224</v>
      </c>
      <c r="C225" s="2" t="s">
        <v>1805</v>
      </c>
      <c r="D225" s="2" t="s">
        <v>2254</v>
      </c>
      <c r="E225" s="2" t="s">
        <v>2326</v>
      </c>
    </row>
    <row r="226" customFormat="false" ht="35.05" hidden="false" customHeight="false" outlineLevel="0" collapsed="false">
      <c r="A226" s="2" t="s">
        <v>2432</v>
      </c>
      <c r="B226" s="2" t="s">
        <v>2228</v>
      </c>
      <c r="C226" s="2" t="s">
        <v>2144</v>
      </c>
      <c r="D226" s="2" t="s">
        <v>2229</v>
      </c>
      <c r="E226" s="2" t="s">
        <v>2326</v>
      </c>
    </row>
    <row r="227" customFormat="false" ht="15" hidden="false" customHeight="false" outlineLevel="0" collapsed="false">
      <c r="A227" s="2" t="s">
        <v>2433</v>
      </c>
      <c r="B227" s="2" t="s">
        <v>2224</v>
      </c>
      <c r="C227" s="2" t="s">
        <v>1813</v>
      </c>
      <c r="D227" s="2" t="s">
        <v>2225</v>
      </c>
      <c r="E227" s="2" t="s">
        <v>2326</v>
      </c>
    </row>
    <row r="228" customFormat="false" ht="15" hidden="false" customHeight="false" outlineLevel="0" collapsed="false">
      <c r="A228" s="2" t="s">
        <v>2434</v>
      </c>
      <c r="B228" s="2" t="s">
        <v>2224</v>
      </c>
      <c r="C228" s="2" t="s">
        <v>1813</v>
      </c>
      <c r="D228" s="2" t="s">
        <v>2225</v>
      </c>
      <c r="E228" s="2" t="s">
        <v>2326</v>
      </c>
    </row>
    <row r="229" customFormat="false" ht="15" hidden="false" customHeight="false" outlineLevel="0" collapsed="false">
      <c r="A229" s="2" t="s">
        <v>2435</v>
      </c>
      <c r="B229" s="2" t="s">
        <v>2224</v>
      </c>
      <c r="C229" s="2" t="s">
        <v>1813</v>
      </c>
      <c r="D229" s="2" t="s">
        <v>2225</v>
      </c>
      <c r="E229" s="2" t="s">
        <v>2326</v>
      </c>
    </row>
    <row r="230" customFormat="false" ht="15" hidden="false" customHeight="false" outlineLevel="0" collapsed="false">
      <c r="A230" s="2" t="s">
        <v>2436</v>
      </c>
      <c r="B230" s="2" t="s">
        <v>2245</v>
      </c>
      <c r="C230" s="2" t="s">
        <v>1883</v>
      </c>
      <c r="D230" s="2" t="s">
        <v>2246</v>
      </c>
      <c r="E230" s="2" t="s">
        <v>2326</v>
      </c>
    </row>
    <row r="231" customFormat="false" ht="15" hidden="false" customHeight="false" outlineLevel="0" collapsed="false">
      <c r="A231" s="2" t="s">
        <v>2437</v>
      </c>
      <c r="B231" s="2" t="s">
        <v>2224</v>
      </c>
      <c r="C231" s="2" t="s">
        <v>1807</v>
      </c>
      <c r="D231" s="2" t="s">
        <v>2254</v>
      </c>
      <c r="E231" s="2" t="s">
        <v>2326</v>
      </c>
    </row>
    <row r="232" customFormat="false" ht="15" hidden="false" customHeight="false" outlineLevel="0" collapsed="false">
      <c r="A232" s="2" t="s">
        <v>2438</v>
      </c>
      <c r="B232" s="2" t="s">
        <v>2224</v>
      </c>
      <c r="C232" s="2" t="s">
        <v>1811</v>
      </c>
      <c r="D232" s="2" t="s">
        <v>2264</v>
      </c>
      <c r="E232" s="2" t="s">
        <v>2326</v>
      </c>
    </row>
    <row r="233" customFormat="false" ht="15" hidden="false" customHeight="false" outlineLevel="0" collapsed="false">
      <c r="A233" s="2" t="s">
        <v>2439</v>
      </c>
      <c r="B233" s="2" t="s">
        <v>2224</v>
      </c>
      <c r="C233" s="2" t="s">
        <v>1805</v>
      </c>
      <c r="D233" s="2" t="s">
        <v>2254</v>
      </c>
      <c r="E233" s="2" t="s">
        <v>2326</v>
      </c>
    </row>
    <row r="234" customFormat="false" ht="15" hidden="false" customHeight="false" outlineLevel="0" collapsed="false">
      <c r="A234" s="2" t="s">
        <v>2440</v>
      </c>
      <c r="B234" s="2" t="s">
        <v>2224</v>
      </c>
      <c r="C234" s="2" t="s">
        <v>1807</v>
      </c>
      <c r="D234" s="2" t="s">
        <v>2254</v>
      </c>
      <c r="E234" s="2" t="s">
        <v>2326</v>
      </c>
    </row>
    <row r="235" customFormat="false" ht="15" hidden="false" customHeight="false" outlineLevel="0" collapsed="false">
      <c r="A235" s="2" t="s">
        <v>2441</v>
      </c>
      <c r="B235" s="2" t="s">
        <v>2224</v>
      </c>
      <c r="C235" s="2" t="s">
        <v>1829</v>
      </c>
      <c r="D235" s="2" t="s">
        <v>2254</v>
      </c>
      <c r="E235" s="2" t="s">
        <v>2326</v>
      </c>
    </row>
    <row r="236" customFormat="false" ht="15" hidden="false" customHeight="false" outlineLevel="0" collapsed="false">
      <c r="A236" s="2" t="s">
        <v>2442</v>
      </c>
      <c r="B236" s="2" t="s">
        <v>2224</v>
      </c>
      <c r="C236" s="2" t="s">
        <v>1817</v>
      </c>
      <c r="D236" s="2" t="s">
        <v>2264</v>
      </c>
      <c r="E236" s="2" t="s">
        <v>2326</v>
      </c>
    </row>
    <row r="237" customFormat="false" ht="15" hidden="false" customHeight="false" outlineLevel="0" collapsed="false">
      <c r="A237" s="2" t="s">
        <v>2443</v>
      </c>
      <c r="B237" s="2" t="s">
        <v>2245</v>
      </c>
      <c r="C237" s="2" t="s">
        <v>1885</v>
      </c>
      <c r="D237" s="2" t="s">
        <v>2331</v>
      </c>
      <c r="E237" s="2" t="s">
        <v>2347</v>
      </c>
    </row>
    <row r="238" customFormat="false" ht="15" hidden="false" customHeight="false" outlineLevel="0" collapsed="false">
      <c r="A238" s="2" t="s">
        <v>2444</v>
      </c>
      <c r="B238" s="2" t="s">
        <v>2224</v>
      </c>
      <c r="C238" s="2" t="s">
        <v>1839</v>
      </c>
      <c r="D238" s="2" t="s">
        <v>2346</v>
      </c>
      <c r="E238" s="2" t="s">
        <v>2347</v>
      </c>
    </row>
    <row r="239" customFormat="false" ht="15" hidden="false" customHeight="false" outlineLevel="0" collapsed="false">
      <c r="A239" s="2" t="s">
        <v>2444</v>
      </c>
      <c r="B239" s="2" t="s">
        <v>2245</v>
      </c>
      <c r="C239" s="2" t="s">
        <v>1881</v>
      </c>
      <c r="D239" s="2" t="s">
        <v>2249</v>
      </c>
      <c r="E239" s="2" t="s">
        <v>2347</v>
      </c>
    </row>
    <row r="240" customFormat="false" ht="15" hidden="false" customHeight="false" outlineLevel="0" collapsed="false">
      <c r="A240" s="2" t="s">
        <v>2445</v>
      </c>
      <c r="B240" s="2" t="s">
        <v>2245</v>
      </c>
      <c r="C240" s="2" t="s">
        <v>1885</v>
      </c>
      <c r="D240" s="2" t="s">
        <v>2331</v>
      </c>
      <c r="E240" s="2" t="s">
        <v>2347</v>
      </c>
    </row>
    <row r="241" customFormat="false" ht="15" hidden="false" customHeight="false" outlineLevel="0" collapsed="false">
      <c r="A241" s="2" t="s">
        <v>2446</v>
      </c>
      <c r="B241" s="2" t="s">
        <v>2224</v>
      </c>
      <c r="C241" s="2" t="s">
        <v>1839</v>
      </c>
      <c r="D241" s="2" t="s">
        <v>2346</v>
      </c>
      <c r="E241" s="2" t="s">
        <v>2347</v>
      </c>
    </row>
    <row r="242" customFormat="false" ht="15" hidden="false" customHeight="false" outlineLevel="0" collapsed="false">
      <c r="A242" s="2" t="s">
        <v>2446</v>
      </c>
      <c r="B242" s="2" t="s">
        <v>2245</v>
      </c>
      <c r="C242" s="2" t="s">
        <v>1881</v>
      </c>
      <c r="D242" s="2" t="s">
        <v>2249</v>
      </c>
      <c r="E242" s="2" t="s">
        <v>2347</v>
      </c>
    </row>
    <row r="243" customFormat="false" ht="15" hidden="false" customHeight="false" outlineLevel="0" collapsed="false">
      <c r="A243" s="2" t="s">
        <v>2447</v>
      </c>
      <c r="B243" s="2" t="s">
        <v>2224</v>
      </c>
      <c r="C243" s="2" t="s">
        <v>1845</v>
      </c>
      <c r="D243" s="2" t="s">
        <v>2254</v>
      </c>
      <c r="E243" s="2" t="s">
        <v>2347</v>
      </c>
    </row>
    <row r="244" customFormat="false" ht="15" hidden="false" customHeight="false" outlineLevel="0" collapsed="false">
      <c r="A244" s="2" t="s">
        <v>2448</v>
      </c>
      <c r="B244" s="2" t="s">
        <v>2224</v>
      </c>
      <c r="C244" s="2" t="s">
        <v>1815</v>
      </c>
      <c r="D244" s="2" t="s">
        <v>2251</v>
      </c>
      <c r="E244" s="2" t="s">
        <v>2347</v>
      </c>
    </row>
    <row r="245" customFormat="false" ht="15" hidden="false" customHeight="false" outlineLevel="0" collapsed="false">
      <c r="A245" s="2" t="s">
        <v>2449</v>
      </c>
      <c r="B245" s="2" t="s">
        <v>2224</v>
      </c>
      <c r="C245" s="2" t="s">
        <v>1868</v>
      </c>
      <c r="D245" s="2" t="s">
        <v>2251</v>
      </c>
      <c r="E245" s="2" t="s">
        <v>2347</v>
      </c>
    </row>
    <row r="246" customFormat="false" ht="15" hidden="false" customHeight="false" outlineLevel="0" collapsed="false">
      <c r="A246" s="2" t="s">
        <v>2449</v>
      </c>
      <c r="B246" s="2" t="s">
        <v>2224</v>
      </c>
      <c r="C246" s="2" t="s">
        <v>1845</v>
      </c>
      <c r="D246" s="2" t="s">
        <v>2254</v>
      </c>
      <c r="E246" s="2" t="s">
        <v>2347</v>
      </c>
    </row>
    <row r="247" customFormat="false" ht="35.05" hidden="false" customHeight="false" outlineLevel="0" collapsed="false">
      <c r="A247" s="2" t="s">
        <v>2450</v>
      </c>
      <c r="B247" s="2" t="s">
        <v>2376</v>
      </c>
      <c r="C247" s="2" t="s">
        <v>2451</v>
      </c>
      <c r="D247" s="2" t="s">
        <v>2378</v>
      </c>
      <c r="E247" s="2" t="s">
        <v>2372</v>
      </c>
    </row>
    <row r="248" customFormat="false" ht="15" hidden="false" customHeight="false" outlineLevel="0" collapsed="false">
      <c r="A248" s="2" t="s">
        <v>2450</v>
      </c>
      <c r="B248" s="2" t="s">
        <v>2245</v>
      </c>
      <c r="C248" s="2" t="s">
        <v>1881</v>
      </c>
      <c r="D248" s="2" t="s">
        <v>2249</v>
      </c>
      <c r="E248" s="2" t="s">
        <v>2372</v>
      </c>
    </row>
    <row r="249" customFormat="false" ht="23.85" hidden="false" customHeight="false" outlineLevel="0" collapsed="false">
      <c r="A249" s="2" t="s">
        <v>2450</v>
      </c>
      <c r="B249" s="2" t="s">
        <v>2452</v>
      </c>
      <c r="C249" s="2" t="s">
        <v>1906</v>
      </c>
      <c r="D249" s="2" t="s">
        <v>2453</v>
      </c>
      <c r="E249" s="2" t="s">
        <v>2372</v>
      </c>
    </row>
    <row r="250" customFormat="false" ht="46.25" hidden="false" customHeight="false" outlineLevel="0" collapsed="false">
      <c r="A250" s="2" t="s">
        <v>2454</v>
      </c>
      <c r="B250" s="2" t="s">
        <v>2376</v>
      </c>
      <c r="C250" s="2" t="s">
        <v>2455</v>
      </c>
      <c r="D250" s="2" t="s">
        <v>2378</v>
      </c>
      <c r="E250" s="2" t="s">
        <v>2372</v>
      </c>
    </row>
    <row r="251" customFormat="false" ht="15" hidden="false" customHeight="false" outlineLevel="0" collapsed="false">
      <c r="A251" s="2" t="s">
        <v>2454</v>
      </c>
      <c r="B251" s="2" t="s">
        <v>2245</v>
      </c>
      <c r="C251" s="2" t="s">
        <v>1881</v>
      </c>
      <c r="D251" s="2" t="s">
        <v>2249</v>
      </c>
      <c r="E251" s="2" t="s">
        <v>2372</v>
      </c>
    </row>
    <row r="252" customFormat="false" ht="23.85" hidden="false" customHeight="false" outlineLevel="0" collapsed="false">
      <c r="A252" s="2" t="s">
        <v>2454</v>
      </c>
      <c r="B252" s="2" t="s">
        <v>2452</v>
      </c>
      <c r="C252" s="2" t="s">
        <v>1906</v>
      </c>
      <c r="D252" s="2" t="s">
        <v>2453</v>
      </c>
      <c r="E252" s="2" t="s">
        <v>2372</v>
      </c>
    </row>
    <row r="253" customFormat="false" ht="15" hidden="false" customHeight="false" outlineLevel="0" collapsed="false">
      <c r="A253" s="2" t="s">
        <v>2456</v>
      </c>
      <c r="B253" s="2" t="s">
        <v>2224</v>
      </c>
      <c r="C253" s="2" t="s">
        <v>1869</v>
      </c>
      <c r="D253" s="2" t="s">
        <v>2251</v>
      </c>
      <c r="E253" s="2" t="s">
        <v>2347</v>
      </c>
    </row>
    <row r="254" customFormat="false" ht="15" hidden="false" customHeight="false" outlineLevel="0" collapsed="false">
      <c r="A254" s="2" t="s">
        <v>2456</v>
      </c>
      <c r="B254" s="2" t="s">
        <v>2224</v>
      </c>
      <c r="C254" s="2" t="s">
        <v>1815</v>
      </c>
      <c r="D254" s="2" t="s">
        <v>2251</v>
      </c>
      <c r="E254" s="2" t="s">
        <v>2347</v>
      </c>
    </row>
    <row r="255" customFormat="false" ht="15" hidden="false" customHeight="false" outlineLevel="0" collapsed="false">
      <c r="A255" s="2" t="s">
        <v>2457</v>
      </c>
      <c r="B255" s="2" t="s">
        <v>2224</v>
      </c>
      <c r="C255" s="2" t="s">
        <v>1870</v>
      </c>
      <c r="D255" s="2" t="s">
        <v>2251</v>
      </c>
      <c r="E255" s="2" t="s">
        <v>2347</v>
      </c>
    </row>
    <row r="256" customFormat="false" ht="15" hidden="false" customHeight="false" outlineLevel="0" collapsed="false">
      <c r="A256" s="2" t="s">
        <v>2457</v>
      </c>
      <c r="B256" s="2" t="s">
        <v>2224</v>
      </c>
      <c r="C256" s="2" t="s">
        <v>1815</v>
      </c>
      <c r="D256" s="2" t="s">
        <v>2251</v>
      </c>
      <c r="E256" s="2" t="s">
        <v>2347</v>
      </c>
    </row>
    <row r="257" customFormat="false" ht="15" hidden="false" customHeight="false" outlineLevel="0" collapsed="false">
      <c r="A257" s="2" t="s">
        <v>2458</v>
      </c>
      <c r="B257" s="2" t="s">
        <v>2224</v>
      </c>
      <c r="C257" s="2" t="s">
        <v>1847</v>
      </c>
      <c r="D257" s="2" t="s">
        <v>2254</v>
      </c>
      <c r="E257" s="2" t="s">
        <v>2347</v>
      </c>
    </row>
    <row r="258" customFormat="false" ht="15" hidden="false" customHeight="false" outlineLevel="0" collapsed="false">
      <c r="A258" s="2" t="s">
        <v>2459</v>
      </c>
      <c r="B258" s="2" t="s">
        <v>2224</v>
      </c>
      <c r="C258" s="2" t="s">
        <v>1841</v>
      </c>
      <c r="D258" s="2" t="s">
        <v>2349</v>
      </c>
      <c r="E258" s="2" t="s">
        <v>2255</v>
      </c>
    </row>
    <row r="259" customFormat="false" ht="15" hidden="false" customHeight="false" outlineLevel="0" collapsed="false">
      <c r="A259" s="2" t="s">
        <v>2459</v>
      </c>
      <c r="B259" s="2" t="s">
        <v>2245</v>
      </c>
      <c r="C259" s="2" t="s">
        <v>1883</v>
      </c>
      <c r="D259" s="2" t="s">
        <v>2246</v>
      </c>
      <c r="E259" s="2" t="s">
        <v>2255</v>
      </c>
    </row>
    <row r="260" customFormat="false" ht="15" hidden="false" customHeight="false" outlineLevel="0" collapsed="false">
      <c r="A260" s="2" t="s">
        <v>2460</v>
      </c>
      <c r="B260" s="2" t="s">
        <v>2224</v>
      </c>
      <c r="C260" s="2" t="s">
        <v>1813</v>
      </c>
      <c r="D260" s="2" t="s">
        <v>2225</v>
      </c>
      <c r="E260" s="2" t="s">
        <v>2347</v>
      </c>
    </row>
    <row r="261" customFormat="false" ht="15" hidden="false" customHeight="false" outlineLevel="0" collapsed="false">
      <c r="A261" s="2" t="s">
        <v>2461</v>
      </c>
      <c r="B261" s="2" t="s">
        <v>2224</v>
      </c>
      <c r="C261" s="2" t="s">
        <v>1813</v>
      </c>
      <c r="D261" s="2" t="s">
        <v>2225</v>
      </c>
      <c r="E261" s="2" t="s">
        <v>2347</v>
      </c>
    </row>
    <row r="262" customFormat="false" ht="15" hidden="false" customHeight="false" outlineLevel="0" collapsed="false">
      <c r="A262" s="2" t="s">
        <v>2462</v>
      </c>
      <c r="B262" s="2" t="s">
        <v>2224</v>
      </c>
      <c r="C262" s="2" t="s">
        <v>1805</v>
      </c>
      <c r="D262" s="2" t="s">
        <v>2254</v>
      </c>
      <c r="E262" s="2" t="s">
        <v>2347</v>
      </c>
    </row>
    <row r="263" customFormat="false" ht="15" hidden="false" customHeight="false" outlineLevel="0" collapsed="false">
      <c r="A263" s="2" t="s">
        <v>2462</v>
      </c>
      <c r="B263" s="2" t="s">
        <v>2224</v>
      </c>
      <c r="C263" s="2" t="s">
        <v>1813</v>
      </c>
      <c r="D263" s="2" t="s">
        <v>2225</v>
      </c>
      <c r="E263" s="2" t="s">
        <v>2347</v>
      </c>
    </row>
    <row r="264" customFormat="false" ht="15" hidden="false" customHeight="false" outlineLevel="0" collapsed="false">
      <c r="A264" s="2" t="s">
        <v>2463</v>
      </c>
      <c r="B264" s="2" t="s">
        <v>2224</v>
      </c>
      <c r="C264" s="2" t="s">
        <v>1809</v>
      </c>
      <c r="D264" s="2" t="s">
        <v>2260</v>
      </c>
      <c r="E264" s="2" t="s">
        <v>2464</v>
      </c>
    </row>
    <row r="265" customFormat="false" ht="15" hidden="false" customHeight="false" outlineLevel="0" collapsed="false">
      <c r="A265" s="2" t="s">
        <v>2465</v>
      </c>
      <c r="B265" s="2" t="s">
        <v>2224</v>
      </c>
      <c r="C265" s="2" t="s">
        <v>1805</v>
      </c>
      <c r="D265" s="2" t="s">
        <v>2254</v>
      </c>
      <c r="E265" s="2" t="s">
        <v>2464</v>
      </c>
    </row>
    <row r="266" customFormat="false" ht="15" hidden="false" customHeight="false" outlineLevel="0" collapsed="false">
      <c r="A266" s="2" t="s">
        <v>2466</v>
      </c>
      <c r="B266" s="2" t="s">
        <v>2224</v>
      </c>
      <c r="C266" s="2" t="s">
        <v>1805</v>
      </c>
      <c r="D266" s="2" t="s">
        <v>2254</v>
      </c>
      <c r="E266" s="2" t="s">
        <v>2464</v>
      </c>
    </row>
    <row r="267" customFormat="false" ht="15" hidden="false" customHeight="false" outlineLevel="0" collapsed="false">
      <c r="A267" s="2" t="s">
        <v>2467</v>
      </c>
      <c r="B267" s="2" t="s">
        <v>2224</v>
      </c>
      <c r="C267" s="2" t="s">
        <v>1815</v>
      </c>
      <c r="D267" s="2" t="s">
        <v>2251</v>
      </c>
      <c r="E267" s="2" t="s">
        <v>2464</v>
      </c>
    </row>
    <row r="268" customFormat="false" ht="15" hidden="false" customHeight="false" outlineLevel="0" collapsed="false">
      <c r="A268" s="2" t="s">
        <v>2468</v>
      </c>
      <c r="B268" s="2" t="s">
        <v>2224</v>
      </c>
      <c r="C268" s="2" t="s">
        <v>1815</v>
      </c>
      <c r="D268" s="2" t="s">
        <v>2251</v>
      </c>
      <c r="E268" s="2" t="s">
        <v>2464</v>
      </c>
    </row>
    <row r="269" customFormat="false" ht="15" hidden="false" customHeight="false" outlineLevel="0" collapsed="false">
      <c r="A269" s="2" t="s">
        <v>2469</v>
      </c>
      <c r="B269" s="2" t="s">
        <v>2224</v>
      </c>
      <c r="C269" s="2" t="s">
        <v>1805</v>
      </c>
      <c r="D269" s="2" t="s">
        <v>2254</v>
      </c>
      <c r="E269" s="2" t="s">
        <v>2464</v>
      </c>
    </row>
    <row r="270" customFormat="false" ht="15" hidden="false" customHeight="false" outlineLevel="0" collapsed="false">
      <c r="A270" s="2" t="s">
        <v>2470</v>
      </c>
      <c r="B270" s="2" t="s">
        <v>2224</v>
      </c>
      <c r="C270" s="2" t="s">
        <v>1805</v>
      </c>
      <c r="D270" s="2" t="s">
        <v>2254</v>
      </c>
      <c r="E270" s="2" t="s">
        <v>2252</v>
      </c>
    </row>
    <row r="271" customFormat="false" ht="15" hidden="false" customHeight="false" outlineLevel="0" collapsed="false">
      <c r="A271" s="2" t="s">
        <v>2471</v>
      </c>
      <c r="B271" s="2" t="s">
        <v>2224</v>
      </c>
      <c r="C271" s="2" t="s">
        <v>1805</v>
      </c>
      <c r="D271" s="2" t="s">
        <v>2254</v>
      </c>
      <c r="E271" s="2" t="s">
        <v>2252</v>
      </c>
    </row>
    <row r="272" customFormat="false" ht="23.85" hidden="false" customHeight="false" outlineLevel="0" collapsed="false">
      <c r="A272" s="2" t="s">
        <v>2472</v>
      </c>
      <c r="B272" s="2" t="s">
        <v>2224</v>
      </c>
      <c r="C272" s="2" t="s">
        <v>1819</v>
      </c>
      <c r="D272" s="2" t="s">
        <v>2275</v>
      </c>
      <c r="E272" s="2" t="s">
        <v>2252</v>
      </c>
    </row>
    <row r="273" customFormat="false" ht="15" hidden="false" customHeight="false" outlineLevel="0" collapsed="false">
      <c r="A273" s="2" t="s">
        <v>2472</v>
      </c>
      <c r="B273" s="2" t="s">
        <v>2224</v>
      </c>
      <c r="C273" s="2" t="s">
        <v>1827</v>
      </c>
      <c r="D273" s="2" t="s">
        <v>2264</v>
      </c>
      <c r="E273" s="2" t="s">
        <v>2252</v>
      </c>
    </row>
    <row r="274" customFormat="false" ht="15" hidden="false" customHeight="false" outlineLevel="0" collapsed="false">
      <c r="A274" s="2" t="s">
        <v>2472</v>
      </c>
      <c r="B274" s="2" t="s">
        <v>2224</v>
      </c>
      <c r="C274" s="2" t="s">
        <v>1821</v>
      </c>
      <c r="D274" s="2" t="s">
        <v>2225</v>
      </c>
      <c r="E274" s="2" t="s">
        <v>2252</v>
      </c>
    </row>
    <row r="275" customFormat="false" ht="15" hidden="false" customHeight="false" outlineLevel="0" collapsed="false">
      <c r="A275" s="2" t="s">
        <v>2472</v>
      </c>
      <c r="B275" s="2" t="s">
        <v>2245</v>
      </c>
      <c r="C275" s="2" t="s">
        <v>1881</v>
      </c>
      <c r="D275" s="2" t="s">
        <v>2249</v>
      </c>
      <c r="E275" s="2" t="s">
        <v>2252</v>
      </c>
    </row>
    <row r="276" customFormat="false" ht="15" hidden="false" customHeight="false" outlineLevel="0" collapsed="false">
      <c r="A276" s="2" t="s">
        <v>2473</v>
      </c>
      <c r="B276" s="2" t="s">
        <v>2224</v>
      </c>
      <c r="C276" s="2" t="s">
        <v>1809</v>
      </c>
      <c r="D276" s="2" t="s">
        <v>2260</v>
      </c>
      <c r="E276" s="2" t="s">
        <v>2252</v>
      </c>
    </row>
    <row r="277" customFormat="false" ht="15" hidden="false" customHeight="false" outlineLevel="0" collapsed="false">
      <c r="A277" s="2" t="s">
        <v>2474</v>
      </c>
      <c r="B277" s="2" t="s">
        <v>2224</v>
      </c>
      <c r="C277" s="2" t="s">
        <v>1807</v>
      </c>
      <c r="D277" s="2" t="s">
        <v>2254</v>
      </c>
      <c r="E277" s="2" t="s">
        <v>2252</v>
      </c>
    </row>
    <row r="278" customFormat="false" ht="15" hidden="false" customHeight="false" outlineLevel="0" collapsed="false">
      <c r="A278" s="2" t="s">
        <v>2474</v>
      </c>
      <c r="B278" s="2" t="s">
        <v>2245</v>
      </c>
      <c r="C278" s="2" t="s">
        <v>1881</v>
      </c>
      <c r="D278" s="2" t="s">
        <v>2249</v>
      </c>
      <c r="E278" s="2" t="s">
        <v>2252</v>
      </c>
    </row>
    <row r="279" customFormat="false" ht="15" hidden="false" customHeight="false" outlineLevel="0" collapsed="false">
      <c r="A279" s="2" t="s">
        <v>2475</v>
      </c>
      <c r="B279" s="2" t="s">
        <v>2224</v>
      </c>
      <c r="C279" s="2" t="s">
        <v>1815</v>
      </c>
      <c r="D279" s="2" t="s">
        <v>2251</v>
      </c>
      <c r="E279" s="2" t="s">
        <v>2252</v>
      </c>
    </row>
    <row r="280" customFormat="false" ht="15" hidden="false" customHeight="false" outlineLevel="0" collapsed="false">
      <c r="A280" s="2" t="s">
        <v>2476</v>
      </c>
      <c r="B280" s="2" t="s">
        <v>2245</v>
      </c>
      <c r="C280" s="2" t="s">
        <v>1883</v>
      </c>
      <c r="D280" s="2" t="s">
        <v>2246</v>
      </c>
      <c r="E280" s="2" t="s">
        <v>2252</v>
      </c>
    </row>
    <row r="281" customFormat="false" ht="15" hidden="false" customHeight="false" outlineLevel="0" collapsed="false">
      <c r="A281" s="2" t="s">
        <v>2477</v>
      </c>
      <c r="B281" s="2" t="s">
        <v>2224</v>
      </c>
      <c r="C281" s="2" t="s">
        <v>1805</v>
      </c>
      <c r="D281" s="2" t="s">
        <v>2254</v>
      </c>
      <c r="E281" s="2" t="s">
        <v>2252</v>
      </c>
    </row>
    <row r="282" customFormat="false" ht="15" hidden="false" customHeight="false" outlineLevel="0" collapsed="false">
      <c r="A282" s="2" t="s">
        <v>2478</v>
      </c>
      <c r="B282" s="2" t="s">
        <v>2224</v>
      </c>
      <c r="C282" s="2" t="s">
        <v>1815</v>
      </c>
      <c r="D282" s="2" t="s">
        <v>2251</v>
      </c>
      <c r="E282" s="2" t="s">
        <v>2252</v>
      </c>
    </row>
    <row r="283" customFormat="false" ht="15" hidden="false" customHeight="false" outlineLevel="0" collapsed="false">
      <c r="A283" s="2" t="s">
        <v>2479</v>
      </c>
      <c r="B283" s="2" t="s">
        <v>2245</v>
      </c>
      <c r="C283" s="2" t="s">
        <v>1883</v>
      </c>
      <c r="D283" s="2" t="s">
        <v>2246</v>
      </c>
      <c r="E283" s="2" t="s">
        <v>2252</v>
      </c>
    </row>
    <row r="284" customFormat="false" ht="15" hidden="false" customHeight="false" outlineLevel="0" collapsed="false">
      <c r="A284" s="2" t="s">
        <v>2480</v>
      </c>
      <c r="B284" s="2" t="s">
        <v>2224</v>
      </c>
      <c r="C284" s="2" t="s">
        <v>1807</v>
      </c>
      <c r="D284" s="2" t="s">
        <v>2254</v>
      </c>
      <c r="E284" s="2" t="s">
        <v>2252</v>
      </c>
    </row>
    <row r="285" customFormat="false" ht="15" hidden="false" customHeight="false" outlineLevel="0" collapsed="false">
      <c r="A285" s="2" t="s">
        <v>2480</v>
      </c>
      <c r="B285" s="2" t="s">
        <v>2224</v>
      </c>
      <c r="C285" s="2" t="s">
        <v>1817</v>
      </c>
      <c r="D285" s="2" t="s">
        <v>2264</v>
      </c>
      <c r="E285" s="2" t="s">
        <v>2252</v>
      </c>
    </row>
    <row r="286" customFormat="false" ht="15" hidden="false" customHeight="false" outlineLevel="0" collapsed="false">
      <c r="A286" s="2" t="s">
        <v>2481</v>
      </c>
      <c r="B286" s="2" t="s">
        <v>2224</v>
      </c>
      <c r="C286" s="2" t="s">
        <v>1829</v>
      </c>
      <c r="D286" s="2" t="s">
        <v>2254</v>
      </c>
      <c r="E286" s="2" t="s">
        <v>2252</v>
      </c>
    </row>
    <row r="287" customFormat="false" ht="15" hidden="false" customHeight="false" outlineLevel="0" collapsed="false">
      <c r="A287" s="2" t="s">
        <v>2481</v>
      </c>
      <c r="B287" s="2" t="s">
        <v>2224</v>
      </c>
      <c r="C287" s="2" t="s">
        <v>1805</v>
      </c>
      <c r="D287" s="2" t="s">
        <v>2254</v>
      </c>
      <c r="E287" s="2" t="s">
        <v>2252</v>
      </c>
    </row>
    <row r="288" customFormat="false" ht="15" hidden="false" customHeight="false" outlineLevel="0" collapsed="false">
      <c r="A288" s="2" t="s">
        <v>2482</v>
      </c>
      <c r="B288" s="2" t="s">
        <v>2224</v>
      </c>
      <c r="C288" s="2" t="s">
        <v>1805</v>
      </c>
      <c r="D288" s="2" t="s">
        <v>2254</v>
      </c>
      <c r="E288" s="2" t="s">
        <v>2252</v>
      </c>
    </row>
    <row r="289" customFormat="false" ht="15" hidden="false" customHeight="false" outlineLevel="0" collapsed="false">
      <c r="A289" s="2" t="s">
        <v>2483</v>
      </c>
      <c r="B289" s="2" t="s">
        <v>2224</v>
      </c>
      <c r="C289" s="2" t="s">
        <v>1805</v>
      </c>
      <c r="D289" s="2" t="s">
        <v>2254</v>
      </c>
      <c r="E289" s="2" t="s">
        <v>2252</v>
      </c>
    </row>
    <row r="290" customFormat="false" ht="15" hidden="false" customHeight="false" outlineLevel="0" collapsed="false">
      <c r="A290" s="2" t="s">
        <v>2484</v>
      </c>
      <c r="B290" s="2" t="s">
        <v>2224</v>
      </c>
      <c r="C290" s="2" t="s">
        <v>1815</v>
      </c>
      <c r="D290" s="2" t="s">
        <v>2251</v>
      </c>
      <c r="E290" s="2" t="s">
        <v>2252</v>
      </c>
    </row>
    <row r="291" customFormat="false" ht="15" hidden="false" customHeight="false" outlineLevel="0" collapsed="false">
      <c r="A291" s="2" t="s">
        <v>2485</v>
      </c>
      <c r="B291" s="2" t="s">
        <v>2245</v>
      </c>
      <c r="C291" s="2" t="s">
        <v>1883</v>
      </c>
      <c r="D291" s="2" t="s">
        <v>2246</v>
      </c>
      <c r="E291" s="2" t="s">
        <v>2252</v>
      </c>
    </row>
    <row r="292" customFormat="false" ht="15" hidden="false" customHeight="false" outlineLevel="0" collapsed="false">
      <c r="A292" s="2" t="s">
        <v>2486</v>
      </c>
      <c r="B292" s="2" t="s">
        <v>2245</v>
      </c>
      <c r="C292" s="2" t="s">
        <v>1885</v>
      </c>
      <c r="D292" s="2" t="s">
        <v>2331</v>
      </c>
      <c r="E292" s="2" t="s">
        <v>2252</v>
      </c>
    </row>
    <row r="293" customFormat="false" ht="46.25" hidden="false" customHeight="false" outlineLevel="0" collapsed="false">
      <c r="A293" s="2" t="s">
        <v>2487</v>
      </c>
      <c r="B293" s="2" t="s">
        <v>2376</v>
      </c>
      <c r="C293" s="2" t="s">
        <v>2488</v>
      </c>
      <c r="D293" s="2" t="s">
        <v>2378</v>
      </c>
      <c r="E293" s="2" t="s">
        <v>2252</v>
      </c>
    </row>
    <row r="294" customFormat="false" ht="15" hidden="false" customHeight="false" outlineLevel="0" collapsed="false">
      <c r="A294" s="2" t="s">
        <v>2487</v>
      </c>
      <c r="B294" s="2" t="s">
        <v>2245</v>
      </c>
      <c r="C294" s="2" t="s">
        <v>1881</v>
      </c>
      <c r="D294" s="2" t="s">
        <v>2249</v>
      </c>
      <c r="E294" s="2" t="s">
        <v>2252</v>
      </c>
    </row>
    <row r="295" customFormat="false" ht="23.85" hidden="false" customHeight="false" outlineLevel="0" collapsed="false">
      <c r="A295" s="2" t="s">
        <v>2487</v>
      </c>
      <c r="B295" s="2" t="s">
        <v>2452</v>
      </c>
      <c r="C295" s="2" t="s">
        <v>1904</v>
      </c>
      <c r="D295" s="2" t="s">
        <v>2453</v>
      </c>
      <c r="E295" s="2" t="s">
        <v>2252</v>
      </c>
    </row>
    <row r="296" customFormat="false" ht="57.45" hidden="false" customHeight="false" outlineLevel="0" collapsed="false">
      <c r="A296" s="2" t="s">
        <v>2489</v>
      </c>
      <c r="B296" s="2" t="s">
        <v>2376</v>
      </c>
      <c r="C296" s="2" t="s">
        <v>2490</v>
      </c>
      <c r="D296" s="2" t="s">
        <v>2378</v>
      </c>
      <c r="E296" s="2" t="s">
        <v>2491</v>
      </c>
    </row>
    <row r="297" customFormat="false" ht="15" hidden="false" customHeight="false" outlineLevel="0" collapsed="false">
      <c r="A297" s="2" t="s">
        <v>2492</v>
      </c>
      <c r="B297" s="2" t="s">
        <v>2224</v>
      </c>
      <c r="C297" s="2" t="s">
        <v>1809</v>
      </c>
      <c r="D297" s="2" t="s">
        <v>2260</v>
      </c>
      <c r="E297" s="2" t="s">
        <v>2491</v>
      </c>
    </row>
    <row r="298" customFormat="false" ht="15" hidden="false" customHeight="false" outlineLevel="0" collapsed="false">
      <c r="A298" s="2" t="s">
        <v>2492</v>
      </c>
      <c r="B298" s="2" t="s">
        <v>2245</v>
      </c>
      <c r="C298" s="2" t="s">
        <v>1881</v>
      </c>
      <c r="D298" s="2" t="s">
        <v>2249</v>
      </c>
      <c r="E298" s="2" t="s">
        <v>2491</v>
      </c>
    </row>
    <row r="299" customFormat="false" ht="15" hidden="false" customHeight="false" outlineLevel="0" collapsed="false">
      <c r="A299" s="2" t="s">
        <v>2493</v>
      </c>
      <c r="B299" s="2" t="s">
        <v>2224</v>
      </c>
      <c r="C299" s="2" t="s">
        <v>1805</v>
      </c>
      <c r="D299" s="2" t="s">
        <v>2254</v>
      </c>
      <c r="E299" s="2" t="s">
        <v>2491</v>
      </c>
    </row>
    <row r="300" customFormat="false" ht="15" hidden="false" customHeight="false" outlineLevel="0" collapsed="false">
      <c r="A300" s="2" t="s">
        <v>2494</v>
      </c>
      <c r="B300" s="2" t="s">
        <v>2224</v>
      </c>
      <c r="C300" s="2" t="s">
        <v>1805</v>
      </c>
      <c r="D300" s="2" t="s">
        <v>2254</v>
      </c>
      <c r="E300" s="2" t="s">
        <v>2491</v>
      </c>
    </row>
    <row r="301" customFormat="false" ht="15" hidden="false" customHeight="false" outlineLevel="0" collapsed="false">
      <c r="A301" s="2" t="s">
        <v>2495</v>
      </c>
      <c r="B301" s="2" t="s">
        <v>2224</v>
      </c>
      <c r="C301" s="2" t="s">
        <v>1805</v>
      </c>
      <c r="D301" s="2" t="s">
        <v>2254</v>
      </c>
      <c r="E301" s="2" t="s">
        <v>2491</v>
      </c>
    </row>
    <row r="302" customFormat="false" ht="15" hidden="false" customHeight="false" outlineLevel="0" collapsed="false">
      <c r="A302" s="2" t="s">
        <v>2496</v>
      </c>
      <c r="B302" s="2" t="s">
        <v>2245</v>
      </c>
      <c r="C302" s="2" t="s">
        <v>1881</v>
      </c>
      <c r="D302" s="2" t="s">
        <v>2249</v>
      </c>
      <c r="E302" s="2" t="s">
        <v>2491</v>
      </c>
    </row>
    <row r="303" customFormat="false" ht="35.05" hidden="false" customHeight="false" outlineLevel="0" collapsed="false">
      <c r="A303" s="2" t="s">
        <v>2497</v>
      </c>
      <c r="B303" s="2" t="s">
        <v>2228</v>
      </c>
      <c r="C303" s="2" t="s">
        <v>2148</v>
      </c>
      <c r="D303" s="2" t="s">
        <v>2229</v>
      </c>
      <c r="E303" s="2" t="s">
        <v>2491</v>
      </c>
    </row>
    <row r="304" customFormat="false" ht="15" hidden="false" customHeight="false" outlineLevel="0" collapsed="false">
      <c r="A304" s="2" t="s">
        <v>2498</v>
      </c>
      <c r="B304" s="2" t="s">
        <v>2245</v>
      </c>
      <c r="C304" s="2" t="s">
        <v>1883</v>
      </c>
      <c r="D304" s="2" t="s">
        <v>2246</v>
      </c>
      <c r="E304" s="2" t="s">
        <v>2491</v>
      </c>
    </row>
    <row r="305" customFormat="false" ht="15" hidden="false" customHeight="false" outlineLevel="0" collapsed="false">
      <c r="A305" s="2" t="s">
        <v>2499</v>
      </c>
      <c r="B305" s="2" t="s">
        <v>2224</v>
      </c>
      <c r="C305" s="2" t="s">
        <v>1811</v>
      </c>
      <c r="D305" s="2" t="s">
        <v>2264</v>
      </c>
      <c r="E305" s="2" t="s">
        <v>2500</v>
      </c>
    </row>
    <row r="306" customFormat="false" ht="15" hidden="false" customHeight="false" outlineLevel="0" collapsed="false">
      <c r="A306" s="2" t="s">
        <v>2501</v>
      </c>
      <c r="B306" s="2" t="s">
        <v>2224</v>
      </c>
      <c r="C306" s="2" t="s">
        <v>1817</v>
      </c>
      <c r="D306" s="2" t="s">
        <v>2264</v>
      </c>
      <c r="E306" s="2" t="s">
        <v>2500</v>
      </c>
    </row>
    <row r="307" customFormat="false" ht="15" hidden="false" customHeight="false" outlineLevel="0" collapsed="false">
      <c r="A307" s="2" t="s">
        <v>2502</v>
      </c>
      <c r="B307" s="2" t="s">
        <v>2245</v>
      </c>
      <c r="C307" s="2" t="s">
        <v>1881</v>
      </c>
      <c r="D307" s="2" t="s">
        <v>2249</v>
      </c>
      <c r="E307" s="2" t="s">
        <v>2500</v>
      </c>
    </row>
    <row r="308" customFormat="false" ht="15" hidden="false" customHeight="false" outlineLevel="0" collapsed="false">
      <c r="A308" s="2" t="s">
        <v>2503</v>
      </c>
      <c r="B308" s="2" t="s">
        <v>2245</v>
      </c>
      <c r="C308" s="2" t="s">
        <v>1881</v>
      </c>
      <c r="D308" s="2" t="s">
        <v>2249</v>
      </c>
      <c r="E308" s="2" t="s">
        <v>2500</v>
      </c>
    </row>
    <row r="309" customFormat="false" ht="15" hidden="false" customHeight="false" outlineLevel="0" collapsed="false">
      <c r="A309" s="2" t="s">
        <v>1222</v>
      </c>
      <c r="B309" s="2" t="s">
        <v>2245</v>
      </c>
      <c r="C309" s="2" t="s">
        <v>1883</v>
      </c>
      <c r="D309" s="2" t="s">
        <v>2246</v>
      </c>
      <c r="E309" s="2" t="s">
        <v>2500</v>
      </c>
    </row>
    <row r="310" customFormat="false" ht="35.05" hidden="false" customHeight="false" outlineLevel="0" collapsed="false">
      <c r="A310" s="2" t="s">
        <v>1222</v>
      </c>
      <c r="B310" s="2" t="s">
        <v>2228</v>
      </c>
      <c r="C310" s="2" t="s">
        <v>2144</v>
      </c>
      <c r="D310" s="2" t="s">
        <v>2229</v>
      </c>
      <c r="E310" s="2" t="s">
        <v>2500</v>
      </c>
    </row>
    <row r="311" customFormat="false" ht="15" hidden="false" customHeight="false" outlineLevel="0" collapsed="false">
      <c r="A311" s="2" t="s">
        <v>2504</v>
      </c>
      <c r="B311" s="2" t="s">
        <v>2245</v>
      </c>
      <c r="C311" s="2" t="s">
        <v>1881</v>
      </c>
      <c r="D311" s="2" t="s">
        <v>2249</v>
      </c>
      <c r="E311" s="2" t="s">
        <v>2500</v>
      </c>
    </row>
    <row r="312" customFormat="false" ht="35.05" hidden="false" customHeight="false" outlineLevel="0" collapsed="false">
      <c r="A312" s="2" t="s">
        <v>2505</v>
      </c>
      <c r="B312" s="2" t="s">
        <v>2228</v>
      </c>
      <c r="C312" s="2" t="s">
        <v>2148</v>
      </c>
      <c r="D312" s="2" t="s">
        <v>2229</v>
      </c>
      <c r="E312" s="2" t="s">
        <v>2500</v>
      </c>
    </row>
    <row r="313" customFormat="false" ht="15" hidden="false" customHeight="false" outlineLevel="0" collapsed="false">
      <c r="A313" s="2" t="s">
        <v>2506</v>
      </c>
      <c r="B313" s="2" t="s">
        <v>2224</v>
      </c>
      <c r="C313" s="2" t="s">
        <v>1807</v>
      </c>
      <c r="D313" s="2" t="s">
        <v>2254</v>
      </c>
      <c r="E313" s="2" t="s">
        <v>2500</v>
      </c>
    </row>
    <row r="314" customFormat="false" ht="15" hidden="false" customHeight="false" outlineLevel="0" collapsed="false">
      <c r="A314" s="2" t="s">
        <v>2507</v>
      </c>
      <c r="B314" s="2" t="s">
        <v>2224</v>
      </c>
      <c r="C314" s="2" t="s">
        <v>1807</v>
      </c>
      <c r="D314" s="2" t="s">
        <v>2254</v>
      </c>
      <c r="E314" s="2" t="s">
        <v>2500</v>
      </c>
    </row>
    <row r="315" customFormat="false" ht="15" hidden="false" customHeight="false" outlineLevel="0" collapsed="false">
      <c r="A315" s="2" t="s">
        <v>2508</v>
      </c>
      <c r="B315" s="2" t="s">
        <v>2224</v>
      </c>
      <c r="C315" s="2" t="s">
        <v>1811</v>
      </c>
      <c r="D315" s="2" t="s">
        <v>2264</v>
      </c>
      <c r="E315" s="2" t="s">
        <v>2500</v>
      </c>
    </row>
    <row r="316" customFormat="false" ht="15" hidden="false" customHeight="false" outlineLevel="0" collapsed="false">
      <c r="A316" s="2" t="s">
        <v>2509</v>
      </c>
      <c r="B316" s="2" t="s">
        <v>2224</v>
      </c>
      <c r="C316" s="2" t="s">
        <v>1829</v>
      </c>
      <c r="D316" s="2" t="s">
        <v>2254</v>
      </c>
      <c r="E316" s="2" t="s">
        <v>2500</v>
      </c>
    </row>
    <row r="317" customFormat="false" ht="35.05" hidden="false" customHeight="false" outlineLevel="0" collapsed="false">
      <c r="A317" s="2" t="s">
        <v>2510</v>
      </c>
      <c r="B317" s="2" t="s">
        <v>2228</v>
      </c>
      <c r="C317" s="2" t="s">
        <v>2148</v>
      </c>
      <c r="D317" s="2" t="s">
        <v>2229</v>
      </c>
      <c r="E317" s="2" t="s">
        <v>2500</v>
      </c>
    </row>
    <row r="318" customFormat="false" ht="15" hidden="false" customHeight="false" outlineLevel="0" collapsed="false">
      <c r="A318" s="2" t="s">
        <v>2511</v>
      </c>
      <c r="B318" s="2" t="s">
        <v>2245</v>
      </c>
      <c r="C318" s="2" t="s">
        <v>1885</v>
      </c>
      <c r="D318" s="2" t="s">
        <v>2331</v>
      </c>
      <c r="E318" s="2" t="s">
        <v>2512</v>
      </c>
    </row>
    <row r="319" customFormat="false" ht="15" hidden="false" customHeight="false" outlineLevel="0" collapsed="false">
      <c r="A319" s="2" t="s">
        <v>2513</v>
      </c>
      <c r="B319" s="2" t="s">
        <v>2245</v>
      </c>
      <c r="C319" s="2" t="s">
        <v>1881</v>
      </c>
      <c r="D319" s="2" t="s">
        <v>2249</v>
      </c>
      <c r="E319" s="2" t="s">
        <v>2512</v>
      </c>
    </row>
    <row r="320" customFormat="false" ht="35.05" hidden="false" customHeight="false" outlineLevel="0" collapsed="false">
      <c r="A320" s="2" t="s">
        <v>2514</v>
      </c>
      <c r="B320" s="2" t="s">
        <v>2228</v>
      </c>
      <c r="C320" s="2" t="s">
        <v>2150</v>
      </c>
      <c r="D320" s="2" t="s">
        <v>2229</v>
      </c>
      <c r="E320" s="2" t="s">
        <v>2512</v>
      </c>
    </row>
    <row r="321" customFormat="false" ht="15" hidden="false" customHeight="false" outlineLevel="0" collapsed="false">
      <c r="A321" s="2" t="s">
        <v>2515</v>
      </c>
      <c r="B321" s="2" t="s">
        <v>2224</v>
      </c>
      <c r="C321" s="2" t="s">
        <v>1807</v>
      </c>
      <c r="D321" s="2" t="s">
        <v>2254</v>
      </c>
      <c r="E321" s="2" t="s">
        <v>2512</v>
      </c>
    </row>
    <row r="322" customFormat="false" ht="15" hidden="false" customHeight="false" outlineLevel="0" collapsed="false">
      <c r="A322" s="2" t="s">
        <v>2515</v>
      </c>
      <c r="B322" s="2" t="s">
        <v>2224</v>
      </c>
      <c r="C322" s="2" t="s">
        <v>1811</v>
      </c>
      <c r="D322" s="2" t="s">
        <v>2264</v>
      </c>
      <c r="E322" s="2" t="s">
        <v>2512</v>
      </c>
    </row>
    <row r="323" customFormat="false" ht="15" hidden="false" customHeight="false" outlineLevel="0" collapsed="false">
      <c r="A323" s="2" t="s">
        <v>2516</v>
      </c>
      <c r="B323" s="2" t="s">
        <v>2224</v>
      </c>
      <c r="C323" s="2" t="s">
        <v>1815</v>
      </c>
      <c r="D323" s="2" t="s">
        <v>2251</v>
      </c>
      <c r="E323" s="2" t="s">
        <v>2512</v>
      </c>
    </row>
    <row r="324" customFormat="false" ht="15" hidden="false" customHeight="false" outlineLevel="0" collapsed="false">
      <c r="A324" s="2" t="s">
        <v>2517</v>
      </c>
      <c r="B324" s="2" t="s">
        <v>2224</v>
      </c>
      <c r="C324" s="2" t="s">
        <v>1815</v>
      </c>
      <c r="D324" s="2" t="s">
        <v>2251</v>
      </c>
      <c r="E324" s="2" t="s">
        <v>2512</v>
      </c>
    </row>
    <row r="325" customFormat="false" ht="15" hidden="false" customHeight="false" outlineLevel="0" collapsed="false">
      <c r="A325" s="2" t="s">
        <v>2517</v>
      </c>
      <c r="B325" s="2" t="s">
        <v>2224</v>
      </c>
      <c r="C325" s="2" t="s">
        <v>1809</v>
      </c>
      <c r="D325" s="2" t="s">
        <v>2260</v>
      </c>
      <c r="E325" s="2" t="s">
        <v>2512</v>
      </c>
    </row>
    <row r="326" customFormat="false" ht="15" hidden="false" customHeight="false" outlineLevel="0" collapsed="false">
      <c r="A326" s="2" t="s">
        <v>2518</v>
      </c>
      <c r="B326" s="2" t="s">
        <v>2224</v>
      </c>
      <c r="C326" s="2" t="s">
        <v>1809</v>
      </c>
      <c r="D326" s="2" t="s">
        <v>2260</v>
      </c>
      <c r="E326" s="2" t="s">
        <v>2512</v>
      </c>
    </row>
    <row r="327" customFormat="false" ht="15" hidden="false" customHeight="false" outlineLevel="0" collapsed="false">
      <c r="A327" s="2" t="s">
        <v>2519</v>
      </c>
      <c r="B327" s="2" t="s">
        <v>2245</v>
      </c>
      <c r="C327" s="2" t="s">
        <v>1885</v>
      </c>
      <c r="D327" s="2" t="s">
        <v>2331</v>
      </c>
      <c r="E327" s="2" t="s">
        <v>2512</v>
      </c>
    </row>
    <row r="328" customFormat="false" ht="15" hidden="false" customHeight="false" outlineLevel="0" collapsed="false">
      <c r="A328" s="2" t="s">
        <v>2520</v>
      </c>
      <c r="B328" s="2" t="s">
        <v>2245</v>
      </c>
      <c r="C328" s="2" t="s">
        <v>1881</v>
      </c>
      <c r="D328" s="2" t="s">
        <v>2249</v>
      </c>
      <c r="E328" s="2" t="s">
        <v>2512</v>
      </c>
    </row>
    <row r="329" customFormat="false" ht="15" hidden="false" customHeight="false" outlineLevel="0" collapsed="false">
      <c r="A329" s="2" t="s">
        <v>2521</v>
      </c>
      <c r="B329" s="2" t="s">
        <v>2224</v>
      </c>
      <c r="C329" s="2" t="s">
        <v>1807</v>
      </c>
      <c r="D329" s="2" t="s">
        <v>2254</v>
      </c>
      <c r="E329" s="2" t="s">
        <v>2512</v>
      </c>
    </row>
    <row r="330" customFormat="false" ht="15" hidden="false" customHeight="false" outlineLevel="0" collapsed="false">
      <c r="A330" s="2" t="s">
        <v>2521</v>
      </c>
      <c r="B330" s="2" t="s">
        <v>2224</v>
      </c>
      <c r="C330" s="2" t="s">
        <v>1811</v>
      </c>
      <c r="D330" s="2" t="s">
        <v>2264</v>
      </c>
      <c r="E330" s="2" t="s">
        <v>2512</v>
      </c>
    </row>
    <row r="331" customFormat="false" ht="35.05" hidden="false" customHeight="false" outlineLevel="0" collapsed="false">
      <c r="A331" s="2" t="s">
        <v>2522</v>
      </c>
      <c r="B331" s="2" t="s">
        <v>2228</v>
      </c>
      <c r="C331" s="2" t="s">
        <v>2150</v>
      </c>
      <c r="D331" s="2" t="s">
        <v>2229</v>
      </c>
      <c r="E331" s="2" t="s">
        <v>2512</v>
      </c>
    </row>
    <row r="332" customFormat="false" ht="15" hidden="false" customHeight="false" outlineLevel="0" collapsed="false">
      <c r="A332" s="2" t="s">
        <v>2523</v>
      </c>
      <c r="B332" s="2" t="s">
        <v>2224</v>
      </c>
      <c r="C332" s="2" t="s">
        <v>1815</v>
      </c>
      <c r="D332" s="2" t="s">
        <v>2251</v>
      </c>
      <c r="E332" s="2" t="s">
        <v>2512</v>
      </c>
    </row>
    <row r="333" customFormat="false" ht="15" hidden="false" customHeight="false" outlineLevel="0" collapsed="false">
      <c r="A333" s="2" t="s">
        <v>2524</v>
      </c>
      <c r="B333" s="2" t="s">
        <v>2224</v>
      </c>
      <c r="C333" s="2" t="s">
        <v>1815</v>
      </c>
      <c r="D333" s="2" t="s">
        <v>2251</v>
      </c>
      <c r="E333" s="2" t="s">
        <v>2512</v>
      </c>
    </row>
    <row r="334" customFormat="false" ht="15" hidden="false" customHeight="false" outlineLevel="0" collapsed="false">
      <c r="A334" s="2" t="s">
        <v>2524</v>
      </c>
      <c r="B334" s="2" t="s">
        <v>2224</v>
      </c>
      <c r="C334" s="2" t="s">
        <v>1809</v>
      </c>
      <c r="D334" s="2" t="s">
        <v>2260</v>
      </c>
      <c r="E334" s="2" t="s">
        <v>2512</v>
      </c>
    </row>
    <row r="335" customFormat="false" ht="15" hidden="false" customHeight="false" outlineLevel="0" collapsed="false">
      <c r="A335" s="2" t="s">
        <v>2525</v>
      </c>
      <c r="B335" s="2" t="s">
        <v>2224</v>
      </c>
      <c r="C335" s="2" t="s">
        <v>1809</v>
      </c>
      <c r="D335" s="2" t="s">
        <v>2260</v>
      </c>
      <c r="E335" s="2" t="s">
        <v>2512</v>
      </c>
    </row>
    <row r="336" customFormat="false" ht="15" hidden="false" customHeight="false" outlineLevel="0" collapsed="false">
      <c r="A336" s="2" t="s">
        <v>2526</v>
      </c>
      <c r="B336" s="2" t="s">
        <v>2245</v>
      </c>
      <c r="C336" s="2" t="s">
        <v>1885</v>
      </c>
      <c r="D336" s="2" t="s">
        <v>2331</v>
      </c>
      <c r="E336" s="2" t="s">
        <v>2491</v>
      </c>
    </row>
    <row r="337" customFormat="false" ht="15" hidden="false" customHeight="false" outlineLevel="0" collapsed="false">
      <c r="A337" s="2" t="s">
        <v>2526</v>
      </c>
      <c r="B337" s="2" t="s">
        <v>2245</v>
      </c>
      <c r="C337" s="2" t="s">
        <v>1885</v>
      </c>
      <c r="D337" s="2" t="s">
        <v>2331</v>
      </c>
      <c r="E337" s="2" t="s">
        <v>2491</v>
      </c>
    </row>
    <row r="338" customFormat="false" ht="46.25" hidden="false" customHeight="false" outlineLevel="0" collapsed="false">
      <c r="A338" s="2" t="s">
        <v>2527</v>
      </c>
      <c r="B338" s="2" t="s">
        <v>2376</v>
      </c>
      <c r="C338" s="2" t="s">
        <v>2528</v>
      </c>
      <c r="D338" s="2" t="s">
        <v>2378</v>
      </c>
      <c r="E338" s="2" t="s">
        <v>2491</v>
      </c>
    </row>
    <row r="339" customFormat="false" ht="15" hidden="false" customHeight="false" outlineLevel="0" collapsed="false">
      <c r="A339" s="2" t="s">
        <v>2527</v>
      </c>
      <c r="B339" s="2" t="s">
        <v>2245</v>
      </c>
      <c r="C339" s="2" t="s">
        <v>1881</v>
      </c>
      <c r="D339" s="2" t="s">
        <v>2249</v>
      </c>
      <c r="E339" s="2" t="s">
        <v>2491</v>
      </c>
    </row>
    <row r="340" customFormat="false" ht="23.85" hidden="false" customHeight="false" outlineLevel="0" collapsed="false">
      <c r="A340" s="2" t="s">
        <v>2527</v>
      </c>
      <c r="B340" s="2" t="s">
        <v>2452</v>
      </c>
      <c r="C340" s="2" t="s">
        <v>1907</v>
      </c>
      <c r="D340" s="2" t="s">
        <v>2453</v>
      </c>
      <c r="E340" s="2" t="s">
        <v>2491</v>
      </c>
    </row>
    <row r="341" customFormat="false" ht="15" hidden="false" customHeight="false" outlineLevel="0" collapsed="false">
      <c r="A341" s="2" t="s">
        <v>2529</v>
      </c>
      <c r="B341" s="2" t="s">
        <v>2224</v>
      </c>
      <c r="C341" s="2" t="s">
        <v>1813</v>
      </c>
      <c r="D341" s="2" t="s">
        <v>2225</v>
      </c>
      <c r="E341" s="2" t="s">
        <v>2491</v>
      </c>
    </row>
    <row r="342" customFormat="false" ht="15" hidden="false" customHeight="false" outlineLevel="0" collapsed="false">
      <c r="A342" s="2" t="s">
        <v>2530</v>
      </c>
      <c r="B342" s="2" t="s">
        <v>2224</v>
      </c>
      <c r="C342" s="2" t="s">
        <v>1813</v>
      </c>
      <c r="D342" s="2" t="s">
        <v>2225</v>
      </c>
      <c r="E342" s="2" t="s">
        <v>2491</v>
      </c>
    </row>
    <row r="343" customFormat="false" ht="15" hidden="false" customHeight="false" outlineLevel="0" collapsed="false">
      <c r="A343" s="2" t="s">
        <v>2531</v>
      </c>
      <c r="B343" s="2" t="s">
        <v>2245</v>
      </c>
      <c r="C343" s="2" t="s">
        <v>1883</v>
      </c>
      <c r="D343" s="2" t="s">
        <v>2246</v>
      </c>
      <c r="E343" s="2" t="s">
        <v>2491</v>
      </c>
    </row>
    <row r="344" customFormat="false" ht="15" hidden="false" customHeight="false" outlineLevel="0" collapsed="false">
      <c r="A344" s="2" t="s">
        <v>2532</v>
      </c>
      <c r="B344" s="2" t="s">
        <v>2245</v>
      </c>
      <c r="C344" s="2" t="s">
        <v>1883</v>
      </c>
      <c r="D344" s="2" t="s">
        <v>2246</v>
      </c>
      <c r="E344" s="2" t="s">
        <v>2491</v>
      </c>
    </row>
    <row r="345" customFormat="false" ht="15" hidden="false" customHeight="false" outlineLevel="0" collapsed="false">
      <c r="A345" s="2" t="s">
        <v>2533</v>
      </c>
      <c r="B345" s="2" t="s">
        <v>2245</v>
      </c>
      <c r="C345" s="2" t="s">
        <v>1881</v>
      </c>
      <c r="D345" s="2" t="s">
        <v>2249</v>
      </c>
      <c r="E345" s="2" t="s">
        <v>2491</v>
      </c>
    </row>
    <row r="346" customFormat="false" ht="15" hidden="false" customHeight="false" outlineLevel="0" collapsed="false">
      <c r="A346" s="2" t="s">
        <v>2534</v>
      </c>
      <c r="B346" s="2" t="s">
        <v>2245</v>
      </c>
      <c r="C346" s="2" t="s">
        <v>1881</v>
      </c>
      <c r="D346" s="2" t="s">
        <v>2249</v>
      </c>
      <c r="E346" s="2" t="s">
        <v>2491</v>
      </c>
    </row>
    <row r="347" customFormat="false" ht="15" hidden="false" customHeight="false" outlineLevel="0" collapsed="false">
      <c r="A347" s="2" t="s">
        <v>2535</v>
      </c>
      <c r="B347" s="2" t="s">
        <v>2245</v>
      </c>
      <c r="C347" s="2" t="s">
        <v>1881</v>
      </c>
      <c r="D347" s="2" t="s">
        <v>2249</v>
      </c>
      <c r="E347" s="2" t="s">
        <v>2491</v>
      </c>
    </row>
    <row r="348" customFormat="false" ht="15" hidden="false" customHeight="false" outlineLevel="0" collapsed="false">
      <c r="A348" s="2" t="s">
        <v>2536</v>
      </c>
      <c r="B348" s="2" t="s">
        <v>2224</v>
      </c>
      <c r="C348" s="2" t="s">
        <v>1813</v>
      </c>
      <c r="D348" s="2" t="s">
        <v>2225</v>
      </c>
      <c r="E348" s="2" t="s">
        <v>2491</v>
      </c>
    </row>
    <row r="349" customFormat="false" ht="15" hidden="false" customHeight="false" outlineLevel="0" collapsed="false">
      <c r="A349" s="2" t="s">
        <v>2537</v>
      </c>
      <c r="B349" s="2" t="s">
        <v>2224</v>
      </c>
      <c r="C349" s="2" t="s">
        <v>1813</v>
      </c>
      <c r="D349" s="2" t="s">
        <v>2225</v>
      </c>
      <c r="E349" s="2" t="s">
        <v>2491</v>
      </c>
    </row>
    <row r="350" customFormat="false" ht="15" hidden="false" customHeight="false" outlineLevel="0" collapsed="false">
      <c r="A350" s="2" t="s">
        <v>2538</v>
      </c>
      <c r="B350" s="2" t="s">
        <v>2224</v>
      </c>
      <c r="C350" s="2" t="s">
        <v>1813</v>
      </c>
      <c r="D350" s="2" t="s">
        <v>2225</v>
      </c>
      <c r="E350" s="2" t="s">
        <v>2491</v>
      </c>
    </row>
    <row r="351" customFormat="false" ht="15" hidden="false" customHeight="false" outlineLevel="0" collapsed="false">
      <c r="A351" s="2" t="s">
        <v>1225</v>
      </c>
      <c r="B351" s="2" t="s">
        <v>2245</v>
      </c>
      <c r="C351" s="2" t="s">
        <v>1887</v>
      </c>
      <c r="D351" s="2" t="s">
        <v>2539</v>
      </c>
      <c r="E351" s="2" t="s">
        <v>2491</v>
      </c>
    </row>
    <row r="352" customFormat="false" ht="15" hidden="false" customHeight="false" outlineLevel="0" collapsed="false">
      <c r="A352" s="2" t="s">
        <v>2540</v>
      </c>
      <c r="B352" s="2" t="s">
        <v>2224</v>
      </c>
      <c r="C352" s="2" t="s">
        <v>1829</v>
      </c>
      <c r="D352" s="2" t="s">
        <v>2254</v>
      </c>
      <c r="E352" s="2" t="s">
        <v>2491</v>
      </c>
    </row>
    <row r="353" customFormat="false" ht="23.85" hidden="false" customHeight="false" outlineLevel="0" collapsed="false">
      <c r="A353" s="2" t="s">
        <v>2541</v>
      </c>
      <c r="B353" s="2" t="s">
        <v>2224</v>
      </c>
      <c r="C353" s="2" t="s">
        <v>1819</v>
      </c>
      <c r="D353" s="2" t="s">
        <v>2275</v>
      </c>
      <c r="E353" s="2" t="s">
        <v>2491</v>
      </c>
    </row>
    <row r="354" customFormat="false" ht="15" hidden="false" customHeight="false" outlineLevel="0" collapsed="false">
      <c r="A354" s="2" t="s">
        <v>2542</v>
      </c>
      <c r="B354" s="2" t="s">
        <v>2224</v>
      </c>
      <c r="C354" s="2" t="s">
        <v>1807</v>
      </c>
      <c r="D354" s="2" t="s">
        <v>2254</v>
      </c>
      <c r="E354" s="2" t="s">
        <v>2491</v>
      </c>
    </row>
    <row r="355" customFormat="false" ht="15" hidden="false" customHeight="false" outlineLevel="0" collapsed="false">
      <c r="A355" s="2" t="s">
        <v>2542</v>
      </c>
      <c r="B355" s="2" t="s">
        <v>2224</v>
      </c>
      <c r="C355" s="2" t="s">
        <v>1813</v>
      </c>
      <c r="D355" s="2" t="s">
        <v>2225</v>
      </c>
      <c r="E355" s="2" t="s">
        <v>2491</v>
      </c>
    </row>
    <row r="356" customFormat="false" ht="15" hidden="false" customHeight="false" outlineLevel="0" collapsed="false">
      <c r="A356" s="2" t="s">
        <v>2543</v>
      </c>
      <c r="B356" s="2" t="s">
        <v>2245</v>
      </c>
      <c r="C356" s="2" t="s">
        <v>1883</v>
      </c>
      <c r="D356" s="2" t="s">
        <v>2246</v>
      </c>
      <c r="E356" s="2" t="s">
        <v>2491</v>
      </c>
    </row>
    <row r="357" customFormat="false" ht="15" hidden="false" customHeight="false" outlineLevel="0" collapsed="false">
      <c r="A357" s="2" t="s">
        <v>2544</v>
      </c>
      <c r="B357" s="2" t="s">
        <v>2245</v>
      </c>
      <c r="C357" s="2" t="s">
        <v>1881</v>
      </c>
      <c r="D357" s="2" t="s">
        <v>2249</v>
      </c>
      <c r="E357" s="2" t="s">
        <v>2491</v>
      </c>
    </row>
    <row r="358" customFormat="false" ht="15" hidden="false" customHeight="false" outlineLevel="0" collapsed="false">
      <c r="A358" s="2" t="s">
        <v>2545</v>
      </c>
      <c r="B358" s="2" t="s">
        <v>2245</v>
      </c>
      <c r="C358" s="2" t="s">
        <v>1885</v>
      </c>
      <c r="D358" s="2" t="s">
        <v>2331</v>
      </c>
      <c r="E358" s="2" t="s">
        <v>2491</v>
      </c>
    </row>
    <row r="359" customFormat="false" ht="46.25" hidden="false" customHeight="false" outlineLevel="0" collapsed="false">
      <c r="A359" s="2" t="s">
        <v>2546</v>
      </c>
      <c r="B359" s="2" t="s">
        <v>2376</v>
      </c>
      <c r="C359" s="2" t="s">
        <v>2547</v>
      </c>
      <c r="D359" s="2" t="s">
        <v>2378</v>
      </c>
      <c r="E359" s="2" t="s">
        <v>2491</v>
      </c>
    </row>
    <row r="360" customFormat="false" ht="15" hidden="false" customHeight="false" outlineLevel="0" collapsed="false">
      <c r="A360" s="2" t="s">
        <v>2546</v>
      </c>
      <c r="B360" s="2" t="s">
        <v>2245</v>
      </c>
      <c r="C360" s="2" t="s">
        <v>1881</v>
      </c>
      <c r="D360" s="2" t="s">
        <v>2249</v>
      </c>
      <c r="E360" s="2" t="s">
        <v>2491</v>
      </c>
    </row>
    <row r="361" customFormat="false" ht="23.85" hidden="false" customHeight="false" outlineLevel="0" collapsed="false">
      <c r="A361" s="2" t="s">
        <v>2546</v>
      </c>
      <c r="B361" s="2" t="s">
        <v>2452</v>
      </c>
      <c r="C361" s="2" t="s">
        <v>1904</v>
      </c>
      <c r="D361" s="2" t="s">
        <v>2453</v>
      </c>
      <c r="E361" s="2" t="s">
        <v>2491</v>
      </c>
    </row>
    <row r="362" customFormat="false" ht="15" hidden="false" customHeight="false" outlineLevel="0" collapsed="false">
      <c r="A362" s="2" t="s">
        <v>2548</v>
      </c>
      <c r="B362" s="2" t="s">
        <v>2224</v>
      </c>
      <c r="C362" s="2" t="s">
        <v>1807</v>
      </c>
      <c r="D362" s="2" t="s">
        <v>2254</v>
      </c>
      <c r="E362" s="2" t="s">
        <v>2491</v>
      </c>
    </row>
    <row r="363" customFormat="false" ht="15" hidden="false" customHeight="false" outlineLevel="0" collapsed="false">
      <c r="A363" s="2" t="s">
        <v>2549</v>
      </c>
      <c r="B363" s="2" t="s">
        <v>2224</v>
      </c>
      <c r="C363" s="2" t="s">
        <v>1807</v>
      </c>
      <c r="D363" s="2" t="s">
        <v>2254</v>
      </c>
      <c r="E363" s="2" t="s">
        <v>2491</v>
      </c>
    </row>
    <row r="364" customFormat="false" ht="15" hidden="false" customHeight="false" outlineLevel="0" collapsed="false">
      <c r="A364" s="2" t="s">
        <v>2550</v>
      </c>
      <c r="B364" s="2" t="s">
        <v>2224</v>
      </c>
      <c r="C364" s="2" t="s">
        <v>1811</v>
      </c>
      <c r="D364" s="2" t="s">
        <v>2264</v>
      </c>
      <c r="E364" s="2" t="s">
        <v>2551</v>
      </c>
    </row>
    <row r="365" customFormat="false" ht="15" hidden="false" customHeight="false" outlineLevel="0" collapsed="false">
      <c r="A365" s="2" t="s">
        <v>2552</v>
      </c>
      <c r="B365" s="2" t="s">
        <v>2224</v>
      </c>
      <c r="C365" s="2" t="s">
        <v>1805</v>
      </c>
      <c r="D365" s="2" t="s">
        <v>2254</v>
      </c>
      <c r="E365" s="2" t="s">
        <v>2551</v>
      </c>
    </row>
    <row r="366" customFormat="false" ht="35.05" hidden="false" customHeight="false" outlineLevel="0" collapsed="false">
      <c r="A366" s="2" t="s">
        <v>2553</v>
      </c>
      <c r="B366" s="2" t="s">
        <v>2228</v>
      </c>
      <c r="C366" s="2" t="s">
        <v>2144</v>
      </c>
      <c r="D366" s="2" t="s">
        <v>2229</v>
      </c>
      <c r="E366" s="2" t="s">
        <v>2551</v>
      </c>
    </row>
    <row r="367" customFormat="false" ht="35.05" hidden="false" customHeight="false" outlineLevel="0" collapsed="false">
      <c r="A367" s="2" t="s">
        <v>2553</v>
      </c>
      <c r="B367" s="2" t="s">
        <v>2228</v>
      </c>
      <c r="C367" s="2" t="s">
        <v>2554</v>
      </c>
      <c r="D367" s="2" t="s">
        <v>2229</v>
      </c>
      <c r="E367" s="2" t="s">
        <v>2551</v>
      </c>
    </row>
    <row r="368" customFormat="false" ht="35.05" hidden="false" customHeight="false" outlineLevel="0" collapsed="false">
      <c r="A368" s="2" t="s">
        <v>2555</v>
      </c>
      <c r="B368" s="2" t="s">
        <v>2228</v>
      </c>
      <c r="C368" s="2" t="s">
        <v>2148</v>
      </c>
      <c r="D368" s="2" t="s">
        <v>2229</v>
      </c>
      <c r="E368" s="2" t="s">
        <v>2551</v>
      </c>
    </row>
    <row r="369" customFormat="false" ht="35.05" hidden="false" customHeight="false" outlineLevel="0" collapsed="false">
      <c r="A369" s="2" t="s">
        <v>2556</v>
      </c>
      <c r="B369" s="2" t="s">
        <v>2228</v>
      </c>
      <c r="C369" s="2" t="s">
        <v>2159</v>
      </c>
      <c r="D369" s="2" t="s">
        <v>2229</v>
      </c>
      <c r="E369" s="2" t="s">
        <v>2551</v>
      </c>
    </row>
    <row r="370" customFormat="false" ht="15" hidden="false" customHeight="false" outlineLevel="0" collapsed="false">
      <c r="A370" s="2" t="s">
        <v>2557</v>
      </c>
      <c r="B370" s="2" t="s">
        <v>2224</v>
      </c>
      <c r="C370" s="2" t="s">
        <v>1811</v>
      </c>
      <c r="D370" s="2" t="s">
        <v>2264</v>
      </c>
      <c r="E370" s="2" t="s">
        <v>2551</v>
      </c>
    </row>
    <row r="371" customFormat="false" ht="15" hidden="false" customHeight="false" outlineLevel="0" collapsed="false">
      <c r="A371" s="2" t="s">
        <v>2558</v>
      </c>
      <c r="B371" s="2" t="s">
        <v>2224</v>
      </c>
      <c r="C371" s="2" t="s">
        <v>1805</v>
      </c>
      <c r="D371" s="2" t="s">
        <v>2254</v>
      </c>
      <c r="E371" s="2" t="s">
        <v>2551</v>
      </c>
    </row>
    <row r="372" customFormat="false" ht="15" hidden="false" customHeight="false" outlineLevel="0" collapsed="false">
      <c r="A372" s="2" t="s">
        <v>2559</v>
      </c>
      <c r="B372" s="2" t="s">
        <v>2224</v>
      </c>
      <c r="C372" s="2" t="s">
        <v>1811</v>
      </c>
      <c r="D372" s="2" t="s">
        <v>2264</v>
      </c>
      <c r="E372" s="2" t="s">
        <v>2551</v>
      </c>
    </row>
    <row r="373" customFormat="false" ht="15" hidden="false" customHeight="false" outlineLevel="0" collapsed="false">
      <c r="A373" s="2" t="s">
        <v>2560</v>
      </c>
      <c r="B373" s="2" t="s">
        <v>2224</v>
      </c>
      <c r="C373" s="2" t="s">
        <v>1811</v>
      </c>
      <c r="D373" s="2" t="s">
        <v>2264</v>
      </c>
      <c r="E373" s="2" t="s">
        <v>2551</v>
      </c>
    </row>
    <row r="374" customFormat="false" ht="15" hidden="false" customHeight="false" outlineLevel="0" collapsed="false">
      <c r="A374" s="2" t="s">
        <v>2561</v>
      </c>
      <c r="B374" s="2" t="s">
        <v>2224</v>
      </c>
      <c r="C374" s="2" t="s">
        <v>1805</v>
      </c>
      <c r="D374" s="2" t="s">
        <v>2254</v>
      </c>
      <c r="E374" s="2" t="s">
        <v>2551</v>
      </c>
    </row>
    <row r="375" customFormat="false" ht="15" hidden="false" customHeight="false" outlineLevel="0" collapsed="false">
      <c r="A375" s="2" t="s">
        <v>2562</v>
      </c>
      <c r="B375" s="2" t="s">
        <v>2224</v>
      </c>
      <c r="C375" s="2" t="s">
        <v>1805</v>
      </c>
      <c r="D375" s="2" t="s">
        <v>2254</v>
      </c>
      <c r="E375" s="2" t="s">
        <v>2551</v>
      </c>
    </row>
    <row r="376" customFormat="false" ht="15" hidden="false" customHeight="false" outlineLevel="0" collapsed="false">
      <c r="A376" s="2" t="s">
        <v>2563</v>
      </c>
      <c r="B376" s="2" t="s">
        <v>2224</v>
      </c>
      <c r="C376" s="2" t="s">
        <v>1813</v>
      </c>
      <c r="D376" s="2" t="s">
        <v>2225</v>
      </c>
      <c r="E376" s="2" t="s">
        <v>2296</v>
      </c>
    </row>
    <row r="377" customFormat="false" ht="15" hidden="false" customHeight="false" outlineLevel="0" collapsed="false">
      <c r="A377" s="2" t="s">
        <v>2563</v>
      </c>
      <c r="B377" s="2" t="s">
        <v>2224</v>
      </c>
      <c r="C377" s="2" t="s">
        <v>1807</v>
      </c>
      <c r="D377" s="2" t="s">
        <v>2254</v>
      </c>
      <c r="E377" s="2" t="s">
        <v>2296</v>
      </c>
    </row>
    <row r="378" customFormat="false" ht="15" hidden="false" customHeight="false" outlineLevel="0" collapsed="false">
      <c r="A378" s="2" t="s">
        <v>2564</v>
      </c>
      <c r="B378" s="2" t="s">
        <v>2224</v>
      </c>
      <c r="C378" s="2" t="s">
        <v>1827</v>
      </c>
      <c r="D378" s="2" t="s">
        <v>2264</v>
      </c>
      <c r="E378" s="2" t="s">
        <v>2296</v>
      </c>
    </row>
    <row r="379" customFormat="false" ht="15" hidden="false" customHeight="false" outlineLevel="0" collapsed="false">
      <c r="A379" s="2" t="s">
        <v>2565</v>
      </c>
      <c r="B379" s="2" t="s">
        <v>2224</v>
      </c>
      <c r="C379" s="2" t="s">
        <v>1871</v>
      </c>
      <c r="D379" s="2" t="s">
        <v>2260</v>
      </c>
      <c r="E379" s="2" t="s">
        <v>2296</v>
      </c>
    </row>
    <row r="380" customFormat="false" ht="15" hidden="false" customHeight="false" outlineLevel="0" collapsed="false">
      <c r="A380" s="2" t="s">
        <v>2566</v>
      </c>
      <c r="B380" s="2" t="s">
        <v>2224</v>
      </c>
      <c r="C380" s="2" t="s">
        <v>1813</v>
      </c>
      <c r="D380" s="2" t="s">
        <v>2225</v>
      </c>
      <c r="E380" s="2" t="s">
        <v>2296</v>
      </c>
    </row>
    <row r="381" customFormat="false" ht="15" hidden="false" customHeight="false" outlineLevel="0" collapsed="false">
      <c r="A381" s="2" t="s">
        <v>2566</v>
      </c>
      <c r="B381" s="2" t="s">
        <v>2224</v>
      </c>
      <c r="C381" s="2" t="s">
        <v>1807</v>
      </c>
      <c r="D381" s="2" t="s">
        <v>2254</v>
      </c>
      <c r="E381" s="2" t="s">
        <v>2296</v>
      </c>
    </row>
    <row r="382" customFormat="false" ht="15" hidden="false" customHeight="false" outlineLevel="0" collapsed="false">
      <c r="A382" s="2" t="s">
        <v>2567</v>
      </c>
      <c r="B382" s="2" t="s">
        <v>2224</v>
      </c>
      <c r="C382" s="2" t="s">
        <v>1827</v>
      </c>
      <c r="D382" s="2" t="s">
        <v>2264</v>
      </c>
      <c r="E382" s="2" t="s">
        <v>2296</v>
      </c>
    </row>
    <row r="383" customFormat="false" ht="15" hidden="false" customHeight="false" outlineLevel="0" collapsed="false">
      <c r="A383" s="2" t="s">
        <v>2568</v>
      </c>
      <c r="B383" s="2" t="s">
        <v>2224</v>
      </c>
      <c r="C383" s="2" t="s">
        <v>1827</v>
      </c>
      <c r="D383" s="2" t="s">
        <v>2264</v>
      </c>
      <c r="E383" s="2" t="s">
        <v>2296</v>
      </c>
    </row>
    <row r="384" customFormat="false" ht="15" hidden="false" customHeight="false" outlineLevel="0" collapsed="false">
      <c r="A384" s="2" t="s">
        <v>2569</v>
      </c>
      <c r="B384" s="2" t="s">
        <v>2224</v>
      </c>
      <c r="C384" s="2" t="s">
        <v>1807</v>
      </c>
      <c r="D384" s="2" t="s">
        <v>2254</v>
      </c>
      <c r="E384" s="2" t="s">
        <v>2296</v>
      </c>
    </row>
    <row r="385" customFormat="false" ht="15" hidden="false" customHeight="false" outlineLevel="0" collapsed="false">
      <c r="A385" s="2" t="s">
        <v>2570</v>
      </c>
      <c r="B385" s="2" t="s">
        <v>2224</v>
      </c>
      <c r="C385" s="2" t="s">
        <v>1815</v>
      </c>
      <c r="D385" s="2" t="s">
        <v>2251</v>
      </c>
      <c r="E385" s="2" t="s">
        <v>2296</v>
      </c>
    </row>
    <row r="386" customFormat="false" ht="15" hidden="false" customHeight="false" outlineLevel="0" collapsed="false">
      <c r="A386" s="2" t="s">
        <v>2571</v>
      </c>
      <c r="B386" s="2" t="s">
        <v>2224</v>
      </c>
      <c r="C386" s="2" t="s">
        <v>1873</v>
      </c>
      <c r="D386" s="2" t="s">
        <v>2251</v>
      </c>
      <c r="E386" s="2" t="s">
        <v>2296</v>
      </c>
    </row>
    <row r="387" customFormat="false" ht="23.85" hidden="false" customHeight="false" outlineLevel="0" collapsed="false">
      <c r="A387" s="2" t="s">
        <v>2572</v>
      </c>
      <c r="B387" s="2" t="s">
        <v>2224</v>
      </c>
      <c r="C387" s="2" t="s">
        <v>1819</v>
      </c>
      <c r="D387" s="2" t="s">
        <v>2275</v>
      </c>
      <c r="E387" s="2" t="s">
        <v>2296</v>
      </c>
    </row>
    <row r="388" customFormat="false" ht="15" hidden="false" customHeight="false" outlineLevel="0" collapsed="false">
      <c r="A388" s="2" t="s">
        <v>2573</v>
      </c>
      <c r="B388" s="2" t="s">
        <v>2224</v>
      </c>
      <c r="C388" s="2" t="s">
        <v>1805</v>
      </c>
      <c r="D388" s="2" t="s">
        <v>2254</v>
      </c>
      <c r="E388" s="2" t="s">
        <v>2296</v>
      </c>
    </row>
    <row r="389" customFormat="false" ht="15" hidden="false" customHeight="false" outlineLevel="0" collapsed="false">
      <c r="A389" s="2" t="s">
        <v>2574</v>
      </c>
      <c r="B389" s="2" t="s">
        <v>2245</v>
      </c>
      <c r="C389" s="2" t="s">
        <v>1883</v>
      </c>
      <c r="D389" s="2" t="s">
        <v>2246</v>
      </c>
      <c r="E389" s="2" t="s">
        <v>2296</v>
      </c>
    </row>
    <row r="390" customFormat="false" ht="15" hidden="false" customHeight="false" outlineLevel="0" collapsed="false">
      <c r="A390" s="2" t="s">
        <v>2575</v>
      </c>
      <c r="B390" s="2" t="s">
        <v>2224</v>
      </c>
      <c r="C390" s="2" t="s">
        <v>1817</v>
      </c>
      <c r="D390" s="2" t="s">
        <v>2264</v>
      </c>
      <c r="E390" s="2" t="s">
        <v>2296</v>
      </c>
    </row>
    <row r="391" customFormat="false" ht="15" hidden="false" customHeight="false" outlineLevel="0" collapsed="false">
      <c r="A391" s="2" t="s">
        <v>2576</v>
      </c>
      <c r="B391" s="2" t="s">
        <v>2224</v>
      </c>
      <c r="C391" s="2" t="s">
        <v>1817</v>
      </c>
      <c r="D391" s="2" t="s">
        <v>2264</v>
      </c>
      <c r="E391" s="2" t="s">
        <v>2296</v>
      </c>
    </row>
    <row r="392" customFormat="false" ht="15" hidden="false" customHeight="false" outlineLevel="0" collapsed="false">
      <c r="A392" s="2" t="s">
        <v>2577</v>
      </c>
      <c r="B392" s="2" t="s">
        <v>2245</v>
      </c>
      <c r="C392" s="2" t="s">
        <v>1881</v>
      </c>
      <c r="D392" s="2" t="s">
        <v>2249</v>
      </c>
      <c r="E392" s="2" t="s">
        <v>2578</v>
      </c>
    </row>
    <row r="393" customFormat="false" ht="15" hidden="false" customHeight="false" outlineLevel="0" collapsed="false">
      <c r="A393" s="2" t="s">
        <v>2579</v>
      </c>
      <c r="B393" s="2" t="s">
        <v>2245</v>
      </c>
      <c r="C393" s="2" t="s">
        <v>1881</v>
      </c>
      <c r="D393" s="2" t="s">
        <v>2249</v>
      </c>
      <c r="E393" s="2" t="s">
        <v>2578</v>
      </c>
    </row>
    <row r="394" customFormat="false" ht="15" hidden="false" customHeight="false" outlineLevel="0" collapsed="false">
      <c r="A394" s="2" t="s">
        <v>2580</v>
      </c>
      <c r="B394" s="2" t="s">
        <v>2224</v>
      </c>
      <c r="C394" s="2" t="s">
        <v>1821</v>
      </c>
      <c r="D394" s="2" t="s">
        <v>2225</v>
      </c>
      <c r="E394" s="2" t="s">
        <v>2578</v>
      </c>
    </row>
    <row r="395" customFormat="false" ht="15" hidden="false" customHeight="false" outlineLevel="0" collapsed="false">
      <c r="A395" s="2" t="s">
        <v>2581</v>
      </c>
      <c r="B395" s="2" t="s">
        <v>2224</v>
      </c>
      <c r="C395" s="2" t="s">
        <v>1805</v>
      </c>
      <c r="D395" s="2" t="s">
        <v>2254</v>
      </c>
      <c r="E395" s="2" t="s">
        <v>2578</v>
      </c>
    </row>
    <row r="396" customFormat="false" ht="15" hidden="false" customHeight="false" outlineLevel="0" collapsed="false">
      <c r="A396" s="2" t="s">
        <v>2582</v>
      </c>
      <c r="B396" s="2" t="s">
        <v>2224</v>
      </c>
      <c r="C396" s="2" t="s">
        <v>1874</v>
      </c>
      <c r="D396" s="2" t="s">
        <v>2260</v>
      </c>
      <c r="E396" s="2" t="s">
        <v>2578</v>
      </c>
    </row>
    <row r="397" customFormat="false" ht="15" hidden="false" customHeight="false" outlineLevel="0" collapsed="false">
      <c r="A397" s="2" t="s">
        <v>2583</v>
      </c>
      <c r="B397" s="2" t="s">
        <v>2224</v>
      </c>
      <c r="C397" s="2" t="s">
        <v>1831</v>
      </c>
      <c r="D397" s="2" t="s">
        <v>2264</v>
      </c>
      <c r="E397" s="2" t="s">
        <v>2578</v>
      </c>
    </row>
    <row r="398" customFormat="false" ht="15" hidden="false" customHeight="false" outlineLevel="0" collapsed="false">
      <c r="A398" s="2" t="s">
        <v>2584</v>
      </c>
      <c r="B398" s="2" t="s">
        <v>2224</v>
      </c>
      <c r="C398" s="2" t="s">
        <v>1823</v>
      </c>
      <c r="D398" s="2" t="s">
        <v>2254</v>
      </c>
      <c r="E398" s="2" t="s">
        <v>2578</v>
      </c>
    </row>
    <row r="399" customFormat="false" ht="15" hidden="false" customHeight="false" outlineLevel="0" collapsed="false">
      <c r="A399" s="2" t="s">
        <v>2585</v>
      </c>
      <c r="B399" s="2" t="s">
        <v>2224</v>
      </c>
      <c r="C399" s="2" t="s">
        <v>1833</v>
      </c>
      <c r="D399" s="2" t="s">
        <v>2294</v>
      </c>
      <c r="E399" s="2" t="s">
        <v>2578</v>
      </c>
    </row>
    <row r="400" customFormat="false" ht="15" hidden="false" customHeight="false" outlineLevel="0" collapsed="false">
      <c r="A400" s="2" t="s">
        <v>2586</v>
      </c>
      <c r="B400" s="2" t="s">
        <v>2224</v>
      </c>
      <c r="C400" s="2" t="s">
        <v>1815</v>
      </c>
      <c r="D400" s="2" t="s">
        <v>2251</v>
      </c>
      <c r="E400" s="2" t="s">
        <v>2578</v>
      </c>
    </row>
    <row r="401" customFormat="false" ht="15" hidden="false" customHeight="false" outlineLevel="0" collapsed="false">
      <c r="A401" s="2" t="s">
        <v>2587</v>
      </c>
      <c r="B401" s="2" t="s">
        <v>2224</v>
      </c>
      <c r="C401" s="2" t="s">
        <v>1823</v>
      </c>
      <c r="D401" s="2" t="s">
        <v>2254</v>
      </c>
      <c r="E401" s="2" t="s">
        <v>2578</v>
      </c>
    </row>
    <row r="402" customFormat="false" ht="15" hidden="false" customHeight="false" outlineLevel="0" collapsed="false">
      <c r="A402" s="2" t="s">
        <v>2588</v>
      </c>
      <c r="B402" s="2" t="s">
        <v>2224</v>
      </c>
      <c r="C402" s="2" t="s">
        <v>1823</v>
      </c>
      <c r="D402" s="2" t="s">
        <v>2254</v>
      </c>
      <c r="E402" s="2" t="s">
        <v>2578</v>
      </c>
    </row>
    <row r="403" customFormat="false" ht="15" hidden="false" customHeight="false" outlineLevel="0" collapsed="false">
      <c r="A403" s="2" t="s">
        <v>2589</v>
      </c>
      <c r="B403" s="2" t="s">
        <v>2224</v>
      </c>
      <c r="C403" s="2" t="s">
        <v>1831</v>
      </c>
      <c r="D403" s="2" t="s">
        <v>2264</v>
      </c>
      <c r="E403" s="2" t="s">
        <v>2578</v>
      </c>
    </row>
    <row r="404" customFormat="false" ht="15" hidden="false" customHeight="false" outlineLevel="0" collapsed="false">
      <c r="A404" s="2" t="s">
        <v>2590</v>
      </c>
      <c r="B404" s="2" t="s">
        <v>2224</v>
      </c>
      <c r="C404" s="2" t="s">
        <v>1831</v>
      </c>
      <c r="D404" s="2" t="s">
        <v>2264</v>
      </c>
      <c r="E404" s="2" t="s">
        <v>2578</v>
      </c>
    </row>
    <row r="405" customFormat="false" ht="46.25" hidden="false" customHeight="false" outlineLevel="0" collapsed="false">
      <c r="A405" s="2" t="s">
        <v>2591</v>
      </c>
      <c r="B405" s="2" t="s">
        <v>2376</v>
      </c>
      <c r="C405" s="2" t="s">
        <v>2592</v>
      </c>
      <c r="D405" s="2" t="s">
        <v>2378</v>
      </c>
      <c r="E405" s="2" t="s">
        <v>2578</v>
      </c>
    </row>
    <row r="406" customFormat="false" ht="15" hidden="false" customHeight="false" outlineLevel="0" collapsed="false">
      <c r="A406" s="2" t="s">
        <v>2591</v>
      </c>
      <c r="B406" s="2" t="s">
        <v>2245</v>
      </c>
      <c r="C406" s="2" t="s">
        <v>1881</v>
      </c>
      <c r="D406" s="2" t="s">
        <v>2249</v>
      </c>
      <c r="E406" s="2" t="s">
        <v>2578</v>
      </c>
    </row>
    <row r="407" customFormat="false" ht="23.85" hidden="false" customHeight="false" outlineLevel="0" collapsed="false">
      <c r="A407" s="2" t="s">
        <v>2591</v>
      </c>
      <c r="B407" s="2" t="s">
        <v>2452</v>
      </c>
      <c r="C407" s="2" t="s">
        <v>1904</v>
      </c>
      <c r="D407" s="2" t="s">
        <v>2453</v>
      </c>
      <c r="E407" s="2" t="s">
        <v>2578</v>
      </c>
    </row>
    <row r="408" customFormat="false" ht="15" hidden="false" customHeight="false" outlineLevel="0" collapsed="false">
      <c r="A408" s="2" t="s">
        <v>2593</v>
      </c>
      <c r="B408" s="2" t="s">
        <v>2224</v>
      </c>
      <c r="C408" s="2" t="s">
        <v>1807</v>
      </c>
      <c r="D408" s="2" t="s">
        <v>2254</v>
      </c>
      <c r="E408" s="2" t="s">
        <v>2578</v>
      </c>
    </row>
    <row r="409" customFormat="false" ht="15" hidden="false" customHeight="false" outlineLevel="0" collapsed="false">
      <c r="A409" s="2" t="s">
        <v>2593</v>
      </c>
      <c r="B409" s="2" t="s">
        <v>2224</v>
      </c>
      <c r="C409" s="2" t="s">
        <v>1827</v>
      </c>
      <c r="D409" s="2" t="s">
        <v>2264</v>
      </c>
      <c r="E409" s="2" t="s">
        <v>2578</v>
      </c>
    </row>
    <row r="410" customFormat="false" ht="15" hidden="false" customHeight="false" outlineLevel="0" collapsed="false">
      <c r="A410" s="2" t="s">
        <v>2594</v>
      </c>
      <c r="B410" s="2" t="s">
        <v>2224</v>
      </c>
      <c r="C410" s="2" t="s">
        <v>1811</v>
      </c>
      <c r="D410" s="2" t="s">
        <v>2264</v>
      </c>
      <c r="E410" s="2" t="s">
        <v>2578</v>
      </c>
    </row>
    <row r="411" customFormat="false" ht="15" hidden="false" customHeight="false" outlineLevel="0" collapsed="false">
      <c r="A411" s="2" t="s">
        <v>2595</v>
      </c>
      <c r="B411" s="2" t="s">
        <v>2224</v>
      </c>
      <c r="C411" s="2" t="s">
        <v>1805</v>
      </c>
      <c r="D411" s="2" t="s">
        <v>2254</v>
      </c>
      <c r="E411" s="2" t="s">
        <v>2578</v>
      </c>
    </row>
    <row r="412" customFormat="false" ht="15" hidden="false" customHeight="false" outlineLevel="0" collapsed="false">
      <c r="A412" s="2" t="s">
        <v>2596</v>
      </c>
      <c r="B412" s="2" t="s">
        <v>2224</v>
      </c>
      <c r="C412" s="2" t="s">
        <v>1807</v>
      </c>
      <c r="D412" s="2" t="s">
        <v>2254</v>
      </c>
      <c r="E412" s="2" t="s">
        <v>2578</v>
      </c>
    </row>
    <row r="413" customFormat="false" ht="15" hidden="false" customHeight="false" outlineLevel="0" collapsed="false">
      <c r="A413" s="2" t="s">
        <v>2597</v>
      </c>
      <c r="B413" s="2" t="s">
        <v>2224</v>
      </c>
      <c r="C413" s="2" t="s">
        <v>1807</v>
      </c>
      <c r="D413" s="2" t="s">
        <v>2254</v>
      </c>
      <c r="E413" s="2" t="s">
        <v>2578</v>
      </c>
    </row>
    <row r="414" customFormat="false" ht="15" hidden="false" customHeight="false" outlineLevel="0" collapsed="false">
      <c r="A414" s="2" t="s">
        <v>2598</v>
      </c>
      <c r="B414" s="2" t="s">
        <v>2224</v>
      </c>
      <c r="C414" s="2" t="s">
        <v>1813</v>
      </c>
      <c r="D414" s="2" t="s">
        <v>2225</v>
      </c>
      <c r="E414" s="2" t="s">
        <v>2578</v>
      </c>
    </row>
    <row r="415" customFormat="false" ht="46.25" hidden="false" customHeight="false" outlineLevel="0" collapsed="false">
      <c r="A415" s="2" t="s">
        <v>2599</v>
      </c>
      <c r="B415" s="2" t="s">
        <v>2376</v>
      </c>
      <c r="C415" s="2" t="s">
        <v>2600</v>
      </c>
      <c r="D415" s="2" t="s">
        <v>2378</v>
      </c>
      <c r="E415" s="2" t="s">
        <v>2578</v>
      </c>
    </row>
    <row r="416" customFormat="false" ht="15" hidden="false" customHeight="false" outlineLevel="0" collapsed="false">
      <c r="A416" s="2" t="s">
        <v>2599</v>
      </c>
      <c r="B416" s="2" t="s">
        <v>2245</v>
      </c>
      <c r="C416" s="2" t="s">
        <v>1881</v>
      </c>
      <c r="D416" s="2" t="s">
        <v>2249</v>
      </c>
      <c r="E416" s="2" t="s">
        <v>2578</v>
      </c>
    </row>
    <row r="417" customFormat="false" ht="23.85" hidden="false" customHeight="false" outlineLevel="0" collapsed="false">
      <c r="A417" s="2" t="s">
        <v>2599</v>
      </c>
      <c r="B417" s="2" t="s">
        <v>2452</v>
      </c>
      <c r="C417" s="2" t="s">
        <v>1909</v>
      </c>
      <c r="D417" s="2" t="s">
        <v>2453</v>
      </c>
      <c r="E417" s="2" t="s">
        <v>2578</v>
      </c>
    </row>
    <row r="418" customFormat="false" ht="15" hidden="false" customHeight="false" outlineLevel="0" collapsed="false">
      <c r="A418" s="2" t="s">
        <v>2601</v>
      </c>
      <c r="B418" s="2" t="s">
        <v>2224</v>
      </c>
      <c r="C418" s="2" t="s">
        <v>1813</v>
      </c>
      <c r="D418" s="2" t="s">
        <v>2225</v>
      </c>
      <c r="E418" s="2" t="s">
        <v>2578</v>
      </c>
    </row>
    <row r="419" customFormat="false" ht="15" hidden="false" customHeight="false" outlineLevel="0" collapsed="false">
      <c r="A419" s="2" t="s">
        <v>2602</v>
      </c>
      <c r="B419" s="2" t="s">
        <v>2224</v>
      </c>
      <c r="C419" s="2" t="s">
        <v>1813</v>
      </c>
      <c r="D419" s="2" t="s">
        <v>2225</v>
      </c>
      <c r="E419" s="2" t="s">
        <v>2578</v>
      </c>
    </row>
    <row r="420" customFormat="false" ht="15" hidden="false" customHeight="false" outlineLevel="0" collapsed="false">
      <c r="A420" s="2" t="s">
        <v>2603</v>
      </c>
      <c r="B420" s="2" t="s">
        <v>2224</v>
      </c>
      <c r="C420" s="2" t="s">
        <v>1833</v>
      </c>
      <c r="D420" s="2" t="s">
        <v>2294</v>
      </c>
      <c r="E420" s="2" t="s">
        <v>2578</v>
      </c>
    </row>
    <row r="421" customFormat="false" ht="15" hidden="false" customHeight="false" outlineLevel="0" collapsed="false">
      <c r="A421" s="2" t="s">
        <v>2603</v>
      </c>
      <c r="B421" s="2" t="s">
        <v>2224</v>
      </c>
      <c r="C421" s="2" t="s">
        <v>1825</v>
      </c>
      <c r="D421" s="2" t="s">
        <v>2254</v>
      </c>
      <c r="E421" s="2" t="s">
        <v>2578</v>
      </c>
    </row>
    <row r="422" customFormat="false" ht="15" hidden="false" customHeight="false" outlineLevel="0" collapsed="false">
      <c r="A422" s="2" t="s">
        <v>2604</v>
      </c>
      <c r="B422" s="2" t="s">
        <v>2224</v>
      </c>
      <c r="C422" s="2" t="s">
        <v>1825</v>
      </c>
      <c r="D422" s="2" t="s">
        <v>2254</v>
      </c>
      <c r="E422" s="2" t="s">
        <v>2578</v>
      </c>
    </row>
    <row r="423" customFormat="false" ht="15" hidden="false" customHeight="false" outlineLevel="0" collapsed="false">
      <c r="A423" s="2" t="s">
        <v>2605</v>
      </c>
      <c r="B423" s="2" t="s">
        <v>2245</v>
      </c>
      <c r="C423" s="2" t="s">
        <v>1883</v>
      </c>
      <c r="D423" s="2" t="s">
        <v>2246</v>
      </c>
      <c r="E423" s="2" t="s">
        <v>2578</v>
      </c>
    </row>
    <row r="424" customFormat="false" ht="15" hidden="false" customHeight="false" outlineLevel="0" collapsed="false">
      <c r="A424" s="2" t="s">
        <v>2606</v>
      </c>
      <c r="B424" s="2" t="s">
        <v>2245</v>
      </c>
      <c r="C424" s="2" t="s">
        <v>1885</v>
      </c>
      <c r="D424" s="2" t="s">
        <v>2331</v>
      </c>
      <c r="E424" s="2" t="s">
        <v>2578</v>
      </c>
    </row>
    <row r="425" customFormat="false" ht="46.25" hidden="false" customHeight="false" outlineLevel="0" collapsed="false">
      <c r="A425" s="2" t="s">
        <v>2607</v>
      </c>
      <c r="B425" s="2" t="s">
        <v>2376</v>
      </c>
      <c r="C425" s="2" t="s">
        <v>2528</v>
      </c>
      <c r="D425" s="2" t="s">
        <v>2378</v>
      </c>
      <c r="E425" s="2" t="s">
        <v>2578</v>
      </c>
    </row>
    <row r="426" customFormat="false" ht="15" hidden="false" customHeight="false" outlineLevel="0" collapsed="false">
      <c r="A426" s="2" t="s">
        <v>2607</v>
      </c>
      <c r="B426" s="2" t="s">
        <v>2245</v>
      </c>
      <c r="C426" s="2" t="s">
        <v>1881</v>
      </c>
      <c r="D426" s="2" t="s">
        <v>2249</v>
      </c>
      <c r="E426" s="2" t="s">
        <v>2578</v>
      </c>
    </row>
    <row r="427" customFormat="false" ht="23.85" hidden="false" customHeight="false" outlineLevel="0" collapsed="false">
      <c r="A427" s="2" t="s">
        <v>2607</v>
      </c>
      <c r="B427" s="2" t="s">
        <v>2452</v>
      </c>
      <c r="C427" s="2" t="s">
        <v>1907</v>
      </c>
      <c r="D427" s="2" t="s">
        <v>2453</v>
      </c>
      <c r="E427" s="2" t="s">
        <v>2578</v>
      </c>
    </row>
    <row r="428" customFormat="false" ht="15" hidden="false" customHeight="false" outlineLevel="0" collapsed="false">
      <c r="A428" s="2" t="s">
        <v>2608</v>
      </c>
      <c r="B428" s="2" t="s">
        <v>2224</v>
      </c>
      <c r="C428" s="2" t="s">
        <v>1813</v>
      </c>
      <c r="D428" s="2" t="s">
        <v>2225</v>
      </c>
      <c r="E428" s="2" t="s">
        <v>2578</v>
      </c>
    </row>
    <row r="429" customFormat="false" ht="15" hidden="false" customHeight="false" outlineLevel="0" collapsed="false">
      <c r="A429" s="2" t="s">
        <v>2609</v>
      </c>
      <c r="B429" s="2" t="s">
        <v>2245</v>
      </c>
      <c r="C429" s="2" t="s">
        <v>1883</v>
      </c>
      <c r="D429" s="2" t="s">
        <v>2246</v>
      </c>
      <c r="E429" s="2" t="s">
        <v>2578</v>
      </c>
    </row>
    <row r="430" customFormat="false" ht="15" hidden="false" customHeight="false" outlineLevel="0" collapsed="false">
      <c r="A430" s="2" t="s">
        <v>2610</v>
      </c>
      <c r="B430" s="2" t="s">
        <v>2224</v>
      </c>
      <c r="C430" s="2" t="s">
        <v>1875</v>
      </c>
      <c r="D430" s="2" t="s">
        <v>2294</v>
      </c>
      <c r="E430" s="2" t="s">
        <v>2578</v>
      </c>
    </row>
    <row r="431" customFormat="false" ht="15" hidden="false" customHeight="false" outlineLevel="0" collapsed="false">
      <c r="A431" s="2" t="s">
        <v>2610</v>
      </c>
      <c r="B431" s="2" t="s">
        <v>2224</v>
      </c>
      <c r="C431" s="2" t="s">
        <v>1877</v>
      </c>
      <c r="D431" s="2" t="s">
        <v>2225</v>
      </c>
      <c r="E431" s="2" t="s">
        <v>2578</v>
      </c>
    </row>
    <row r="432" customFormat="false" ht="15" hidden="false" customHeight="false" outlineLevel="0" collapsed="false">
      <c r="A432" s="2" t="s">
        <v>2610</v>
      </c>
      <c r="B432" s="2" t="s">
        <v>2224</v>
      </c>
      <c r="C432" s="2" t="s">
        <v>1831</v>
      </c>
      <c r="D432" s="2" t="s">
        <v>2264</v>
      </c>
      <c r="E432" s="2" t="s">
        <v>2578</v>
      </c>
    </row>
    <row r="433" customFormat="false" ht="15" hidden="false" customHeight="false" outlineLevel="0" collapsed="false">
      <c r="A433" s="2" t="s">
        <v>2611</v>
      </c>
      <c r="B433" s="2" t="s">
        <v>2224</v>
      </c>
      <c r="C433" s="2" t="s">
        <v>1831</v>
      </c>
      <c r="D433" s="2" t="s">
        <v>2264</v>
      </c>
      <c r="E433" s="2" t="s">
        <v>2578</v>
      </c>
    </row>
    <row r="434" customFormat="false" ht="15" hidden="false" customHeight="false" outlineLevel="0" collapsed="false">
      <c r="A434" s="2" t="s">
        <v>2612</v>
      </c>
      <c r="B434" s="2" t="s">
        <v>2224</v>
      </c>
      <c r="C434" s="2" t="s">
        <v>1831</v>
      </c>
      <c r="D434" s="2" t="s">
        <v>2264</v>
      </c>
      <c r="E434" s="2" t="s">
        <v>2578</v>
      </c>
    </row>
    <row r="435" customFormat="false" ht="15" hidden="false" customHeight="false" outlineLevel="0" collapsed="false">
      <c r="A435" s="2" t="s">
        <v>2613</v>
      </c>
      <c r="B435" s="2" t="s">
        <v>2224</v>
      </c>
      <c r="C435" s="2" t="s">
        <v>1823</v>
      </c>
      <c r="D435" s="2" t="s">
        <v>2254</v>
      </c>
      <c r="E435" s="2" t="s">
        <v>2578</v>
      </c>
    </row>
    <row r="436" customFormat="false" ht="15" hidden="false" customHeight="false" outlineLevel="0" collapsed="false">
      <c r="A436" s="2" t="s">
        <v>2614</v>
      </c>
      <c r="B436" s="2" t="s">
        <v>2224</v>
      </c>
      <c r="C436" s="2" t="s">
        <v>1823</v>
      </c>
      <c r="D436" s="2" t="s">
        <v>2254</v>
      </c>
      <c r="E436" s="2" t="s">
        <v>2578</v>
      </c>
    </row>
    <row r="437" customFormat="false" ht="15" hidden="false" customHeight="false" outlineLevel="0" collapsed="false">
      <c r="A437" s="2" t="s">
        <v>2615</v>
      </c>
      <c r="B437" s="2" t="s">
        <v>2224</v>
      </c>
      <c r="C437" s="2" t="s">
        <v>1833</v>
      </c>
      <c r="D437" s="2" t="s">
        <v>2294</v>
      </c>
      <c r="E437" s="2" t="s">
        <v>2578</v>
      </c>
    </row>
    <row r="438" customFormat="false" ht="15" hidden="false" customHeight="false" outlineLevel="0" collapsed="false">
      <c r="A438" s="2" t="s">
        <v>2615</v>
      </c>
      <c r="B438" s="2" t="s">
        <v>2224</v>
      </c>
      <c r="C438" s="2" t="s">
        <v>1825</v>
      </c>
      <c r="D438" s="2" t="s">
        <v>2254</v>
      </c>
      <c r="E438" s="2" t="s">
        <v>2578</v>
      </c>
    </row>
    <row r="439" customFormat="false" ht="15" hidden="false" customHeight="false" outlineLevel="0" collapsed="false">
      <c r="A439" s="2" t="s">
        <v>2616</v>
      </c>
      <c r="B439" s="2" t="s">
        <v>2224</v>
      </c>
      <c r="C439" s="2" t="s">
        <v>1823</v>
      </c>
      <c r="D439" s="2" t="s">
        <v>2254</v>
      </c>
      <c r="E439" s="2" t="s">
        <v>2578</v>
      </c>
    </row>
    <row r="440" customFormat="false" ht="23.85" hidden="false" customHeight="false" outlineLevel="0" collapsed="false">
      <c r="A440" s="2" t="s">
        <v>2617</v>
      </c>
      <c r="B440" s="2" t="s">
        <v>2618</v>
      </c>
      <c r="C440" s="2" t="s">
        <v>2619</v>
      </c>
      <c r="D440" s="2" t="s">
        <v>2620</v>
      </c>
      <c r="E440" s="2" t="s">
        <v>2578</v>
      </c>
    </row>
    <row r="441" customFormat="false" ht="15" hidden="false" customHeight="false" outlineLevel="0" collapsed="false">
      <c r="A441" s="2" t="s">
        <v>2621</v>
      </c>
      <c r="B441" s="2" t="s">
        <v>2245</v>
      </c>
      <c r="C441" s="2" t="s">
        <v>1881</v>
      </c>
      <c r="D441" s="2" t="s">
        <v>2249</v>
      </c>
      <c r="E441" s="2" t="s">
        <v>2578</v>
      </c>
    </row>
    <row r="442" customFormat="false" ht="35.05" hidden="false" customHeight="false" outlineLevel="0" collapsed="false">
      <c r="A442" s="2" t="s">
        <v>2622</v>
      </c>
      <c r="B442" s="2" t="s">
        <v>2618</v>
      </c>
      <c r="C442" s="2" t="s">
        <v>2623</v>
      </c>
      <c r="D442" s="2" t="s">
        <v>2620</v>
      </c>
      <c r="E442" s="2" t="s">
        <v>2578</v>
      </c>
    </row>
    <row r="443" customFormat="false" ht="35.05" hidden="false" customHeight="false" outlineLevel="0" collapsed="false">
      <c r="A443" s="2" t="s">
        <v>2624</v>
      </c>
      <c r="B443" s="2" t="s">
        <v>2618</v>
      </c>
      <c r="C443" s="2" t="s">
        <v>2623</v>
      </c>
      <c r="D443" s="2" t="s">
        <v>2620</v>
      </c>
      <c r="E443" s="2" t="s">
        <v>2578</v>
      </c>
    </row>
    <row r="444" customFormat="false" ht="15" hidden="false" customHeight="false" outlineLevel="0" collapsed="false">
      <c r="A444" s="2" t="s">
        <v>2625</v>
      </c>
      <c r="B444" s="2" t="s">
        <v>2245</v>
      </c>
      <c r="C444" s="2" t="s">
        <v>1883</v>
      </c>
      <c r="D444" s="2" t="s">
        <v>2246</v>
      </c>
      <c r="E444" s="2" t="s">
        <v>2578</v>
      </c>
    </row>
    <row r="445" customFormat="false" ht="15" hidden="false" customHeight="false" outlineLevel="0" collapsed="false">
      <c r="A445" s="2" t="s">
        <v>2626</v>
      </c>
      <c r="B445" s="2" t="s">
        <v>2224</v>
      </c>
      <c r="C445" s="2" t="s">
        <v>1809</v>
      </c>
      <c r="D445" s="2" t="s">
        <v>2260</v>
      </c>
      <c r="E445" s="2" t="s">
        <v>2627</v>
      </c>
    </row>
    <row r="446" customFormat="false" ht="15" hidden="false" customHeight="false" outlineLevel="0" collapsed="false">
      <c r="A446" s="2" t="s">
        <v>2628</v>
      </c>
      <c r="B446" s="2" t="s">
        <v>2224</v>
      </c>
      <c r="C446" s="2" t="s">
        <v>1809</v>
      </c>
      <c r="D446" s="2" t="s">
        <v>2260</v>
      </c>
      <c r="E446" s="2" t="s">
        <v>2627</v>
      </c>
    </row>
    <row r="447" customFormat="false" ht="15" hidden="false" customHeight="false" outlineLevel="0" collapsed="false">
      <c r="A447" s="2" t="s">
        <v>2629</v>
      </c>
      <c r="B447" s="2" t="s">
        <v>2224</v>
      </c>
      <c r="C447" s="2" t="s">
        <v>1809</v>
      </c>
      <c r="D447" s="2" t="s">
        <v>2260</v>
      </c>
      <c r="E447" s="2" t="s">
        <v>2627</v>
      </c>
    </row>
    <row r="448" customFormat="false" ht="15" hidden="false" customHeight="false" outlineLevel="0" collapsed="false">
      <c r="A448" s="2" t="s">
        <v>2630</v>
      </c>
      <c r="B448" s="2" t="s">
        <v>2224</v>
      </c>
      <c r="C448" s="2" t="s">
        <v>1809</v>
      </c>
      <c r="D448" s="2" t="s">
        <v>2260</v>
      </c>
      <c r="E448" s="2" t="s">
        <v>2631</v>
      </c>
    </row>
    <row r="449" customFormat="false" ht="15" hidden="false" customHeight="false" outlineLevel="0" collapsed="false">
      <c r="A449" s="2" t="s">
        <v>2630</v>
      </c>
      <c r="B449" s="2" t="s">
        <v>2245</v>
      </c>
      <c r="C449" s="2" t="s">
        <v>1881</v>
      </c>
      <c r="D449" s="2" t="s">
        <v>2249</v>
      </c>
      <c r="E449" s="2" t="s">
        <v>2631</v>
      </c>
    </row>
    <row r="450" customFormat="false" ht="15" hidden="false" customHeight="false" outlineLevel="0" collapsed="false">
      <c r="A450" s="2" t="s">
        <v>2632</v>
      </c>
      <c r="B450" s="2" t="s">
        <v>2224</v>
      </c>
      <c r="C450" s="2" t="s">
        <v>1821</v>
      </c>
      <c r="D450" s="2" t="s">
        <v>2225</v>
      </c>
      <c r="E450" s="2" t="s">
        <v>2631</v>
      </c>
    </row>
    <row r="451" customFormat="false" ht="15" hidden="false" customHeight="false" outlineLevel="0" collapsed="false">
      <c r="A451" s="2" t="s">
        <v>2633</v>
      </c>
      <c r="B451" s="2" t="s">
        <v>2224</v>
      </c>
      <c r="C451" s="2" t="s">
        <v>1813</v>
      </c>
      <c r="D451" s="2" t="s">
        <v>2225</v>
      </c>
      <c r="E451" s="2" t="s">
        <v>2631</v>
      </c>
    </row>
    <row r="452" customFormat="false" ht="35.05" hidden="false" customHeight="false" outlineLevel="0" collapsed="false">
      <c r="A452" s="2" t="s">
        <v>2634</v>
      </c>
      <c r="B452" s="2" t="s">
        <v>2618</v>
      </c>
      <c r="C452" s="2" t="s">
        <v>2635</v>
      </c>
      <c r="D452" s="2" t="s">
        <v>2620</v>
      </c>
      <c r="E452" s="2" t="s">
        <v>2631</v>
      </c>
    </row>
    <row r="453" customFormat="false" ht="15" hidden="false" customHeight="false" outlineLevel="0" collapsed="false">
      <c r="A453" s="2" t="s">
        <v>2636</v>
      </c>
      <c r="B453" s="2" t="s">
        <v>2224</v>
      </c>
      <c r="C453" s="2" t="s">
        <v>1809</v>
      </c>
      <c r="D453" s="2" t="s">
        <v>2260</v>
      </c>
      <c r="E453" s="2" t="s">
        <v>2631</v>
      </c>
    </row>
    <row r="454" customFormat="false" ht="35.05" hidden="false" customHeight="false" outlineLevel="0" collapsed="false">
      <c r="A454" s="2" t="s">
        <v>2637</v>
      </c>
      <c r="B454" s="2" t="s">
        <v>2618</v>
      </c>
      <c r="C454" s="2" t="s">
        <v>2638</v>
      </c>
      <c r="D454" s="2" t="s">
        <v>2620</v>
      </c>
      <c r="E454" s="2" t="s">
        <v>2631</v>
      </c>
    </row>
    <row r="455" customFormat="false" ht="15" hidden="false" customHeight="false" outlineLevel="0" collapsed="false">
      <c r="A455" s="2" t="s">
        <v>2639</v>
      </c>
      <c r="B455" s="2" t="s">
        <v>2224</v>
      </c>
      <c r="C455" s="2" t="s">
        <v>1815</v>
      </c>
      <c r="D455" s="2" t="s">
        <v>2251</v>
      </c>
      <c r="E455" s="2" t="s">
        <v>1149</v>
      </c>
    </row>
    <row r="456" customFormat="false" ht="15" hidden="false" customHeight="false" outlineLevel="0" collapsed="false">
      <c r="A456" s="2" t="s">
        <v>2640</v>
      </c>
      <c r="B456" s="2" t="s">
        <v>2224</v>
      </c>
      <c r="C456" s="2" t="s">
        <v>1825</v>
      </c>
      <c r="D456" s="2" t="s">
        <v>2254</v>
      </c>
      <c r="E456" s="2" t="s">
        <v>1149</v>
      </c>
    </row>
    <row r="457" customFormat="false" ht="15" hidden="false" customHeight="false" outlineLevel="0" collapsed="false">
      <c r="A457" s="2" t="s">
        <v>2641</v>
      </c>
      <c r="B457" s="2" t="s">
        <v>2224</v>
      </c>
      <c r="C457" s="2" t="s">
        <v>1849</v>
      </c>
      <c r="D457" s="2" t="s">
        <v>2254</v>
      </c>
      <c r="E457" s="2" t="s">
        <v>1149</v>
      </c>
    </row>
    <row r="458" customFormat="false" ht="15" hidden="false" customHeight="false" outlineLevel="0" collapsed="false">
      <c r="A458" s="2" t="s">
        <v>2642</v>
      </c>
      <c r="B458" s="2" t="s">
        <v>2224</v>
      </c>
      <c r="C458" s="2" t="s">
        <v>1823</v>
      </c>
      <c r="D458" s="2" t="s">
        <v>2254</v>
      </c>
      <c r="E458" s="2" t="s">
        <v>1149</v>
      </c>
    </row>
    <row r="459" customFormat="false" ht="15" hidden="false" customHeight="false" outlineLevel="0" collapsed="false">
      <c r="A459" s="2" t="s">
        <v>2643</v>
      </c>
      <c r="B459" s="2" t="s">
        <v>2224</v>
      </c>
      <c r="C459" s="2" t="s">
        <v>1833</v>
      </c>
      <c r="D459" s="2" t="s">
        <v>2294</v>
      </c>
      <c r="E459" s="2" t="s">
        <v>1149</v>
      </c>
    </row>
    <row r="460" customFormat="false" ht="15" hidden="false" customHeight="false" outlineLevel="0" collapsed="false">
      <c r="A460" s="2" t="s">
        <v>2643</v>
      </c>
      <c r="B460" s="2" t="s">
        <v>2224</v>
      </c>
      <c r="C460" s="2" t="s">
        <v>1825</v>
      </c>
      <c r="D460" s="2" t="s">
        <v>2254</v>
      </c>
      <c r="E460" s="2" t="s">
        <v>1149</v>
      </c>
    </row>
    <row r="461" customFormat="false" ht="15" hidden="false" customHeight="false" outlineLevel="0" collapsed="false">
      <c r="A461" s="2" t="s">
        <v>2644</v>
      </c>
      <c r="B461" s="2" t="s">
        <v>2224</v>
      </c>
      <c r="C461" s="2" t="s">
        <v>1878</v>
      </c>
      <c r="D461" s="2" t="s">
        <v>2264</v>
      </c>
      <c r="E461" s="2" t="s">
        <v>1149</v>
      </c>
    </row>
    <row r="462" customFormat="false" ht="15" hidden="false" customHeight="false" outlineLevel="0" collapsed="false">
      <c r="A462" s="2" t="s">
        <v>2645</v>
      </c>
      <c r="B462" s="2" t="s">
        <v>2224</v>
      </c>
      <c r="C462" s="2" t="s">
        <v>1849</v>
      </c>
      <c r="D462" s="2" t="s">
        <v>2254</v>
      </c>
      <c r="E462" s="2" t="s">
        <v>1149</v>
      </c>
    </row>
    <row r="463" customFormat="false" ht="15" hidden="false" customHeight="false" outlineLevel="0" collapsed="false">
      <c r="A463" s="2" t="s">
        <v>2646</v>
      </c>
      <c r="B463" s="2" t="s">
        <v>2224</v>
      </c>
      <c r="C463" s="2" t="s">
        <v>1825</v>
      </c>
      <c r="D463" s="2" t="s">
        <v>2254</v>
      </c>
      <c r="E463" s="2" t="s">
        <v>1149</v>
      </c>
    </row>
    <row r="464" customFormat="false" ht="15" hidden="false" customHeight="false" outlineLevel="0" collapsed="false">
      <c r="A464" s="2" t="s">
        <v>2647</v>
      </c>
      <c r="B464" s="2" t="s">
        <v>2245</v>
      </c>
      <c r="C464" s="2" t="s">
        <v>1885</v>
      </c>
      <c r="D464" s="2" t="s">
        <v>2331</v>
      </c>
      <c r="E464" s="2" t="s">
        <v>2648</v>
      </c>
    </row>
    <row r="465" customFormat="false" ht="46.25" hidden="false" customHeight="false" outlineLevel="0" collapsed="false">
      <c r="A465" s="2" t="s">
        <v>2649</v>
      </c>
      <c r="B465" s="2" t="s">
        <v>2376</v>
      </c>
      <c r="C465" s="2" t="s">
        <v>2650</v>
      </c>
      <c r="D465" s="2" t="s">
        <v>2378</v>
      </c>
      <c r="E465" s="2" t="s">
        <v>2648</v>
      </c>
    </row>
    <row r="466" customFormat="false" ht="15" hidden="false" customHeight="false" outlineLevel="0" collapsed="false">
      <c r="A466" s="2" t="s">
        <v>2649</v>
      </c>
      <c r="B466" s="2" t="s">
        <v>2245</v>
      </c>
      <c r="C466" s="2" t="s">
        <v>1881</v>
      </c>
      <c r="D466" s="2" t="s">
        <v>2249</v>
      </c>
      <c r="E466" s="2" t="s">
        <v>2648</v>
      </c>
    </row>
    <row r="467" customFormat="false" ht="23.85" hidden="false" customHeight="false" outlineLevel="0" collapsed="false">
      <c r="A467" s="2" t="s">
        <v>2649</v>
      </c>
      <c r="B467" s="2" t="s">
        <v>2452</v>
      </c>
      <c r="C467" s="2" t="s">
        <v>1911</v>
      </c>
      <c r="D467" s="2" t="s">
        <v>2453</v>
      </c>
      <c r="E467" s="2" t="s">
        <v>2648</v>
      </c>
    </row>
    <row r="468" customFormat="false" ht="15" hidden="false" customHeight="false" outlineLevel="0" collapsed="false">
      <c r="A468" s="2" t="s">
        <v>2651</v>
      </c>
      <c r="B468" s="2" t="s">
        <v>2224</v>
      </c>
      <c r="C468" s="2" t="s">
        <v>1805</v>
      </c>
      <c r="D468" s="2" t="s">
        <v>2254</v>
      </c>
      <c r="E468" s="2" t="s">
        <v>2648</v>
      </c>
    </row>
    <row r="469" customFormat="false" ht="15" hidden="false" customHeight="false" outlineLevel="0" collapsed="false">
      <c r="A469" s="2" t="s">
        <v>2652</v>
      </c>
      <c r="B469" s="2" t="s">
        <v>2224</v>
      </c>
      <c r="C469" s="2" t="s">
        <v>1805</v>
      </c>
      <c r="D469" s="2" t="s">
        <v>2254</v>
      </c>
      <c r="E469" s="2" t="s">
        <v>2648</v>
      </c>
    </row>
    <row r="470" customFormat="false" ht="15" hidden="false" customHeight="false" outlineLevel="0" collapsed="false">
      <c r="A470" s="2" t="s">
        <v>2653</v>
      </c>
      <c r="B470" s="2" t="s">
        <v>2245</v>
      </c>
      <c r="C470" s="2" t="s">
        <v>1883</v>
      </c>
      <c r="D470" s="2" t="s">
        <v>2246</v>
      </c>
      <c r="E470" s="2" t="s">
        <v>2648</v>
      </c>
    </row>
    <row r="471" customFormat="false" ht="15" hidden="false" customHeight="false" outlineLevel="0" collapsed="false">
      <c r="A471" s="2" t="s">
        <v>2654</v>
      </c>
      <c r="B471" s="2" t="s">
        <v>2245</v>
      </c>
      <c r="C471" s="2" t="s">
        <v>1883</v>
      </c>
      <c r="D471" s="2" t="s">
        <v>2246</v>
      </c>
      <c r="E471" s="2" t="s">
        <v>2648</v>
      </c>
    </row>
    <row r="472" customFormat="false" ht="15" hidden="false" customHeight="false" outlineLevel="0" collapsed="false">
      <c r="A472" s="2" t="s">
        <v>2655</v>
      </c>
      <c r="B472" s="2" t="s">
        <v>2245</v>
      </c>
      <c r="C472" s="2" t="s">
        <v>1881</v>
      </c>
      <c r="D472" s="2" t="s">
        <v>2249</v>
      </c>
      <c r="E472" s="2" t="s">
        <v>2648</v>
      </c>
    </row>
    <row r="473" customFormat="false" ht="15" hidden="false" customHeight="false" outlineLevel="0" collapsed="false">
      <c r="A473" s="2" t="s">
        <v>2656</v>
      </c>
      <c r="B473" s="2" t="s">
        <v>2245</v>
      </c>
      <c r="C473" s="2" t="s">
        <v>1883</v>
      </c>
      <c r="D473" s="2" t="s">
        <v>2246</v>
      </c>
      <c r="E473" s="2" t="s">
        <v>2648</v>
      </c>
    </row>
    <row r="474" customFormat="false" ht="15" hidden="false" customHeight="false" outlineLevel="0" collapsed="false">
      <c r="A474" s="2" t="s">
        <v>2657</v>
      </c>
      <c r="B474" s="2" t="s">
        <v>2245</v>
      </c>
      <c r="C474" s="2" t="s">
        <v>1883</v>
      </c>
      <c r="D474" s="2" t="s">
        <v>2246</v>
      </c>
      <c r="E474" s="2" t="s">
        <v>2648</v>
      </c>
    </row>
    <row r="475" customFormat="false" ht="15" hidden="false" customHeight="false" outlineLevel="0" collapsed="false">
      <c r="A475" s="2" t="s">
        <v>2658</v>
      </c>
      <c r="B475" s="2" t="s">
        <v>2245</v>
      </c>
      <c r="C475" s="2" t="s">
        <v>1881</v>
      </c>
      <c r="D475" s="2" t="s">
        <v>2249</v>
      </c>
      <c r="E475" s="2" t="s">
        <v>2648</v>
      </c>
    </row>
    <row r="476" customFormat="false" ht="15" hidden="false" customHeight="false" outlineLevel="0" collapsed="false">
      <c r="A476" s="2" t="s">
        <v>2659</v>
      </c>
      <c r="B476" s="2" t="s">
        <v>2224</v>
      </c>
      <c r="C476" s="2" t="s">
        <v>1815</v>
      </c>
      <c r="D476" s="2" t="s">
        <v>2251</v>
      </c>
      <c r="E476" s="2" t="s">
        <v>1162</v>
      </c>
    </row>
    <row r="477" customFormat="false" ht="15" hidden="false" customHeight="false" outlineLevel="0" collapsed="false">
      <c r="A477" s="2" t="s">
        <v>2660</v>
      </c>
      <c r="B477" s="2" t="s">
        <v>2224</v>
      </c>
      <c r="C477" s="2" t="s">
        <v>1849</v>
      </c>
      <c r="D477" s="2" t="s">
        <v>2254</v>
      </c>
      <c r="E477" s="2" t="s">
        <v>2292</v>
      </c>
    </row>
    <row r="478" customFormat="false" ht="15" hidden="false" customHeight="false" outlineLevel="0" collapsed="false">
      <c r="A478" s="2" t="s">
        <v>2661</v>
      </c>
      <c r="B478" s="2" t="s">
        <v>2224</v>
      </c>
      <c r="C478" s="2" t="s">
        <v>1503</v>
      </c>
      <c r="D478" s="2" t="s">
        <v>2662</v>
      </c>
      <c r="E478" s="2" t="s">
        <v>2292</v>
      </c>
    </row>
    <row r="479" customFormat="false" ht="15" hidden="false" customHeight="false" outlineLevel="0" collapsed="false">
      <c r="A479" s="2" t="s">
        <v>2663</v>
      </c>
      <c r="B479" s="2" t="s">
        <v>2224</v>
      </c>
      <c r="C479" s="2" t="s">
        <v>1843</v>
      </c>
      <c r="D479" s="2" t="s">
        <v>2349</v>
      </c>
      <c r="E479" s="2" t="s">
        <v>2321</v>
      </c>
    </row>
    <row r="480" customFormat="false" ht="15" hidden="false" customHeight="false" outlineLevel="0" collapsed="false">
      <c r="A480" s="2" t="s">
        <v>2663</v>
      </c>
      <c r="B480" s="2" t="s">
        <v>2245</v>
      </c>
      <c r="C480" s="2" t="s">
        <v>1883</v>
      </c>
      <c r="D480" s="2" t="s">
        <v>2246</v>
      </c>
      <c r="E480" s="2" t="s">
        <v>2321</v>
      </c>
    </row>
    <row r="481" customFormat="false" ht="15" hidden="false" customHeight="false" outlineLevel="0" collapsed="false">
      <c r="A481" s="2" t="s">
        <v>2664</v>
      </c>
      <c r="B481" s="2" t="s">
        <v>2224</v>
      </c>
      <c r="C481" s="2" t="s">
        <v>1843</v>
      </c>
      <c r="D481" s="2" t="s">
        <v>2349</v>
      </c>
      <c r="E481" s="2" t="s">
        <v>2321</v>
      </c>
    </row>
    <row r="482" customFormat="false" ht="15" hidden="false" customHeight="false" outlineLevel="0" collapsed="false">
      <c r="A482" s="2" t="s">
        <v>2664</v>
      </c>
      <c r="B482" s="2" t="s">
        <v>2245</v>
      </c>
      <c r="C482" s="2" t="s">
        <v>1883</v>
      </c>
      <c r="D482" s="2" t="s">
        <v>2246</v>
      </c>
      <c r="E482" s="2" t="s">
        <v>2321</v>
      </c>
    </row>
    <row r="483" customFormat="false" ht="15" hidden="false" customHeight="false" outlineLevel="0" collapsed="false">
      <c r="A483" s="2" t="s">
        <v>2665</v>
      </c>
      <c r="B483" s="2" t="s">
        <v>2224</v>
      </c>
      <c r="C483" s="2" t="s">
        <v>1843</v>
      </c>
      <c r="D483" s="2" t="s">
        <v>2349</v>
      </c>
      <c r="E483" s="2" t="s">
        <v>2321</v>
      </c>
    </row>
    <row r="484" customFormat="false" ht="15" hidden="false" customHeight="false" outlineLevel="0" collapsed="false">
      <c r="A484" s="2" t="s">
        <v>2665</v>
      </c>
      <c r="B484" s="2" t="s">
        <v>2245</v>
      </c>
      <c r="C484" s="2" t="s">
        <v>1883</v>
      </c>
      <c r="D484" s="2" t="s">
        <v>2246</v>
      </c>
      <c r="E484" s="2" t="s">
        <v>2321</v>
      </c>
    </row>
    <row r="485" customFormat="false" ht="15" hidden="false" customHeight="false" outlineLevel="0" collapsed="false">
      <c r="A485" s="2" t="s">
        <v>2666</v>
      </c>
      <c r="B485" s="2" t="s">
        <v>2224</v>
      </c>
      <c r="C485" s="2" t="s">
        <v>1809</v>
      </c>
      <c r="D485" s="2" t="s">
        <v>2260</v>
      </c>
      <c r="E485" s="2" t="s">
        <v>2321</v>
      </c>
    </row>
    <row r="486" customFormat="false" ht="15" hidden="false" customHeight="false" outlineLevel="0" collapsed="false">
      <c r="A486" s="2" t="s">
        <v>2666</v>
      </c>
      <c r="B486" s="2" t="s">
        <v>2224</v>
      </c>
      <c r="C486" s="2" t="s">
        <v>1821</v>
      </c>
      <c r="D486" s="2" t="s">
        <v>2225</v>
      </c>
      <c r="E486" s="2" t="s">
        <v>2321</v>
      </c>
    </row>
    <row r="487" customFormat="false" ht="23.85" hidden="false" customHeight="false" outlineLevel="0" collapsed="false">
      <c r="A487" s="2" t="s">
        <v>2667</v>
      </c>
      <c r="B487" s="2" t="s">
        <v>2224</v>
      </c>
      <c r="C487" s="2" t="s">
        <v>1819</v>
      </c>
      <c r="D487" s="2" t="s">
        <v>2275</v>
      </c>
      <c r="E487" s="2" t="s">
        <v>2321</v>
      </c>
    </row>
    <row r="488" customFormat="false" ht="23.85" hidden="false" customHeight="false" outlineLevel="0" collapsed="false">
      <c r="A488" s="2" t="s">
        <v>2668</v>
      </c>
      <c r="B488" s="2" t="s">
        <v>2224</v>
      </c>
      <c r="C488" s="2" t="s">
        <v>1819</v>
      </c>
      <c r="D488" s="2" t="s">
        <v>2275</v>
      </c>
      <c r="E488" s="2" t="s">
        <v>2321</v>
      </c>
    </row>
    <row r="489" customFormat="false" ht="15" hidden="false" customHeight="false" outlineLevel="0" collapsed="false">
      <c r="A489" s="2" t="s">
        <v>2669</v>
      </c>
      <c r="B489" s="2" t="s">
        <v>2224</v>
      </c>
      <c r="C489" s="2" t="s">
        <v>1809</v>
      </c>
      <c r="D489" s="2" t="s">
        <v>2260</v>
      </c>
      <c r="E489" s="2" t="s">
        <v>2321</v>
      </c>
    </row>
    <row r="490" customFormat="false" ht="15" hidden="false" customHeight="false" outlineLevel="0" collapsed="false">
      <c r="A490" s="2" t="s">
        <v>2669</v>
      </c>
      <c r="B490" s="2" t="s">
        <v>2224</v>
      </c>
      <c r="C490" s="2" t="s">
        <v>1821</v>
      </c>
      <c r="D490" s="2" t="s">
        <v>2225</v>
      </c>
      <c r="E490" s="2" t="s">
        <v>2321</v>
      </c>
    </row>
    <row r="491" customFormat="false" ht="23.85" hidden="false" customHeight="false" outlineLevel="0" collapsed="false">
      <c r="A491" s="2" t="s">
        <v>2670</v>
      </c>
      <c r="B491" s="2" t="s">
        <v>2224</v>
      </c>
      <c r="C491" s="2" t="s">
        <v>1819</v>
      </c>
      <c r="D491" s="2" t="s">
        <v>2275</v>
      </c>
      <c r="E491" s="2" t="s">
        <v>2321</v>
      </c>
    </row>
    <row r="492" customFormat="false" ht="15" hidden="false" customHeight="false" outlineLevel="0" collapsed="false">
      <c r="A492" s="2" t="s">
        <v>2670</v>
      </c>
      <c r="B492" s="2" t="s">
        <v>2224</v>
      </c>
      <c r="C492" s="2" t="s">
        <v>1821</v>
      </c>
      <c r="D492" s="2" t="s">
        <v>2225</v>
      </c>
      <c r="E492" s="2" t="s">
        <v>2321</v>
      </c>
    </row>
    <row r="493" customFormat="false" ht="15" hidden="false" customHeight="false" outlineLevel="0" collapsed="false">
      <c r="A493" s="2" t="s">
        <v>2671</v>
      </c>
      <c r="B493" s="2" t="s">
        <v>2224</v>
      </c>
      <c r="C493" s="2" t="s">
        <v>1809</v>
      </c>
      <c r="D493" s="2" t="s">
        <v>2260</v>
      </c>
      <c r="E493" s="2" t="s">
        <v>2321</v>
      </c>
    </row>
    <row r="494" customFormat="false" ht="15" hidden="false" customHeight="false" outlineLevel="0" collapsed="false">
      <c r="A494" s="2" t="s">
        <v>2671</v>
      </c>
      <c r="B494" s="2" t="s">
        <v>2245</v>
      </c>
      <c r="C494" s="2" t="s">
        <v>1881</v>
      </c>
      <c r="D494" s="2" t="s">
        <v>2249</v>
      </c>
      <c r="E494" s="2" t="s">
        <v>2321</v>
      </c>
    </row>
    <row r="495" customFormat="false" ht="15" hidden="false" customHeight="false" outlineLevel="0" collapsed="false">
      <c r="A495" s="2" t="s">
        <v>2672</v>
      </c>
      <c r="B495" s="2" t="s">
        <v>2224</v>
      </c>
      <c r="C495" s="2" t="s">
        <v>1807</v>
      </c>
      <c r="D495" s="2" t="s">
        <v>2254</v>
      </c>
      <c r="E495" s="2" t="s">
        <v>2321</v>
      </c>
    </row>
    <row r="496" customFormat="false" ht="15" hidden="false" customHeight="false" outlineLevel="0" collapsed="false">
      <c r="A496" s="2" t="s">
        <v>2673</v>
      </c>
      <c r="B496" s="2" t="s">
        <v>2224</v>
      </c>
      <c r="C496" s="2" t="s">
        <v>1817</v>
      </c>
      <c r="D496" s="2" t="s">
        <v>2264</v>
      </c>
      <c r="E496" s="2" t="s">
        <v>2321</v>
      </c>
    </row>
    <row r="497" customFormat="false" ht="15" hidden="false" customHeight="false" outlineLevel="0" collapsed="false">
      <c r="A497" s="2" t="s">
        <v>2674</v>
      </c>
      <c r="B497" s="2" t="s">
        <v>2224</v>
      </c>
      <c r="C497" s="2" t="s">
        <v>1843</v>
      </c>
      <c r="D497" s="2" t="s">
        <v>2349</v>
      </c>
      <c r="E497" s="2" t="s">
        <v>2321</v>
      </c>
    </row>
    <row r="498" customFormat="false" ht="15" hidden="false" customHeight="false" outlineLevel="0" collapsed="false">
      <c r="A498" s="2" t="s">
        <v>2674</v>
      </c>
      <c r="B498" s="2" t="s">
        <v>2245</v>
      </c>
      <c r="C498" s="2" t="s">
        <v>1883</v>
      </c>
      <c r="D498" s="2" t="s">
        <v>2246</v>
      </c>
      <c r="E498" s="2" t="s">
        <v>2321</v>
      </c>
    </row>
    <row r="499" customFormat="false" ht="15" hidden="false" customHeight="false" outlineLevel="0" collapsed="false">
      <c r="A499" s="2" t="s">
        <v>2675</v>
      </c>
      <c r="B499" s="2" t="s">
        <v>2245</v>
      </c>
      <c r="C499" s="2" t="s">
        <v>1883</v>
      </c>
      <c r="D499" s="2" t="s">
        <v>2246</v>
      </c>
      <c r="E499" s="2" t="s">
        <v>2321</v>
      </c>
    </row>
    <row r="500" customFormat="false" ht="15" hidden="false" customHeight="false" outlineLevel="0" collapsed="false">
      <c r="A500" s="2" t="s">
        <v>2676</v>
      </c>
      <c r="B500" s="2" t="s">
        <v>2245</v>
      </c>
      <c r="C500" s="2" t="s">
        <v>1881</v>
      </c>
      <c r="D500" s="2" t="s">
        <v>2249</v>
      </c>
      <c r="E500" s="2" t="s">
        <v>2321</v>
      </c>
    </row>
    <row r="501" customFormat="false" ht="23.85" hidden="false" customHeight="false" outlineLevel="0" collapsed="false">
      <c r="A501" s="2" t="s">
        <v>2677</v>
      </c>
      <c r="B501" s="2" t="s">
        <v>2224</v>
      </c>
      <c r="C501" s="2" t="s">
        <v>1819</v>
      </c>
      <c r="D501" s="2" t="s">
        <v>2275</v>
      </c>
      <c r="E501" s="2" t="s">
        <v>2321</v>
      </c>
    </row>
    <row r="502" customFormat="false" ht="15" hidden="false" customHeight="false" outlineLevel="0" collapsed="false">
      <c r="A502" s="2" t="s">
        <v>2678</v>
      </c>
      <c r="B502" s="2" t="s">
        <v>2224</v>
      </c>
      <c r="C502" s="2" t="s">
        <v>1807</v>
      </c>
      <c r="D502" s="2" t="s">
        <v>2254</v>
      </c>
      <c r="E502" s="2" t="s">
        <v>2321</v>
      </c>
    </row>
    <row r="503" customFormat="false" ht="15" hidden="false" customHeight="false" outlineLevel="0" collapsed="false">
      <c r="A503" s="2" t="s">
        <v>2678</v>
      </c>
      <c r="B503" s="2" t="s">
        <v>2224</v>
      </c>
      <c r="C503" s="2" t="s">
        <v>1811</v>
      </c>
      <c r="D503" s="2" t="s">
        <v>2264</v>
      </c>
      <c r="E503" s="2" t="s">
        <v>2321</v>
      </c>
    </row>
    <row r="504" customFormat="false" ht="15" hidden="false" customHeight="false" outlineLevel="0" collapsed="false">
      <c r="A504" s="2" t="s">
        <v>2679</v>
      </c>
      <c r="B504" s="2" t="s">
        <v>2224</v>
      </c>
      <c r="C504" s="2" t="s">
        <v>1809</v>
      </c>
      <c r="D504" s="2" t="s">
        <v>2260</v>
      </c>
      <c r="E504" s="2" t="s">
        <v>2321</v>
      </c>
    </row>
    <row r="505" customFormat="false" ht="15" hidden="false" customHeight="false" outlineLevel="0" collapsed="false">
      <c r="A505" s="2" t="s">
        <v>2679</v>
      </c>
      <c r="B505" s="2" t="s">
        <v>2224</v>
      </c>
      <c r="C505" s="2" t="s">
        <v>1821</v>
      </c>
      <c r="D505" s="2" t="s">
        <v>2225</v>
      </c>
      <c r="E505" s="2" t="s">
        <v>2321</v>
      </c>
    </row>
    <row r="506" customFormat="false" ht="23.85" hidden="false" customHeight="false" outlineLevel="0" collapsed="false">
      <c r="A506" s="2" t="s">
        <v>2680</v>
      </c>
      <c r="B506" s="2" t="s">
        <v>2224</v>
      </c>
      <c r="C506" s="2" t="s">
        <v>1819</v>
      </c>
      <c r="D506" s="2" t="s">
        <v>2275</v>
      </c>
      <c r="E506" s="2" t="s">
        <v>2321</v>
      </c>
    </row>
    <row r="507" customFormat="false" ht="15" hidden="false" customHeight="false" outlineLevel="0" collapsed="false">
      <c r="A507" s="2" t="s">
        <v>2680</v>
      </c>
      <c r="B507" s="2" t="s">
        <v>2224</v>
      </c>
      <c r="C507" s="2" t="s">
        <v>1821</v>
      </c>
      <c r="D507" s="2" t="s">
        <v>2225</v>
      </c>
      <c r="E507" s="2" t="s">
        <v>2321</v>
      </c>
    </row>
    <row r="508" customFormat="false" ht="15" hidden="false" customHeight="false" outlineLevel="0" collapsed="false">
      <c r="A508" s="2" t="s">
        <v>2681</v>
      </c>
      <c r="B508" s="2" t="s">
        <v>2224</v>
      </c>
      <c r="C508" s="2" t="s">
        <v>1809</v>
      </c>
      <c r="D508" s="2" t="s">
        <v>2260</v>
      </c>
      <c r="E508" s="2" t="s">
        <v>2321</v>
      </c>
    </row>
    <row r="509" customFormat="false" ht="15" hidden="false" customHeight="false" outlineLevel="0" collapsed="false">
      <c r="A509" s="2" t="s">
        <v>2681</v>
      </c>
      <c r="B509" s="2" t="s">
        <v>2224</v>
      </c>
      <c r="C509" s="2" t="s">
        <v>1821</v>
      </c>
      <c r="D509" s="2" t="s">
        <v>2225</v>
      </c>
      <c r="E509" s="2" t="s">
        <v>2321</v>
      </c>
    </row>
    <row r="510" customFormat="false" ht="23.85" hidden="false" customHeight="false" outlineLevel="0" collapsed="false">
      <c r="A510" s="2" t="s">
        <v>2682</v>
      </c>
      <c r="B510" s="2" t="s">
        <v>2224</v>
      </c>
      <c r="C510" s="2" t="s">
        <v>1819</v>
      </c>
      <c r="D510" s="2" t="s">
        <v>2275</v>
      </c>
      <c r="E510" s="2" t="s">
        <v>2321</v>
      </c>
    </row>
    <row r="511" customFormat="false" ht="15" hidden="false" customHeight="false" outlineLevel="0" collapsed="false">
      <c r="A511" s="2" t="s">
        <v>2682</v>
      </c>
      <c r="B511" s="2" t="s">
        <v>2224</v>
      </c>
      <c r="C511" s="2" t="s">
        <v>1821</v>
      </c>
      <c r="D511" s="2" t="s">
        <v>2225</v>
      </c>
      <c r="E511" s="2" t="s">
        <v>2321</v>
      </c>
    </row>
    <row r="512" customFormat="false" ht="15" hidden="false" customHeight="false" outlineLevel="0" collapsed="false">
      <c r="A512" s="2" t="s">
        <v>2683</v>
      </c>
      <c r="B512" s="2" t="s">
        <v>2224</v>
      </c>
      <c r="C512" s="2" t="s">
        <v>1815</v>
      </c>
      <c r="D512" s="2" t="s">
        <v>2251</v>
      </c>
      <c r="E512" s="2" t="s">
        <v>2684</v>
      </c>
    </row>
    <row r="513" customFormat="false" ht="35.05" hidden="false" customHeight="false" outlineLevel="0" collapsed="false">
      <c r="A513" s="2" t="s">
        <v>2685</v>
      </c>
      <c r="B513" s="2" t="s">
        <v>2228</v>
      </c>
      <c r="C513" s="2" t="s">
        <v>2160</v>
      </c>
      <c r="D513" s="2" t="s">
        <v>2229</v>
      </c>
      <c r="E513" s="2" t="s">
        <v>2684</v>
      </c>
    </row>
    <row r="514" customFormat="false" ht="15" hidden="false" customHeight="false" outlineLevel="0" collapsed="false">
      <c r="A514" s="2" t="s">
        <v>2686</v>
      </c>
      <c r="B514" s="2" t="s">
        <v>2224</v>
      </c>
      <c r="C514" s="2" t="s">
        <v>1825</v>
      </c>
      <c r="D514" s="2" t="s">
        <v>2254</v>
      </c>
      <c r="E514" s="2" t="s">
        <v>2684</v>
      </c>
    </row>
    <row r="515" customFormat="false" ht="35.05" hidden="false" customHeight="false" outlineLevel="0" collapsed="false">
      <c r="A515" s="2" t="s">
        <v>2687</v>
      </c>
      <c r="B515" s="2" t="s">
        <v>2228</v>
      </c>
      <c r="C515" s="2" t="s">
        <v>2150</v>
      </c>
      <c r="D515" s="2" t="s">
        <v>2229</v>
      </c>
      <c r="E515" s="2" t="s">
        <v>2684</v>
      </c>
    </row>
    <row r="516" customFormat="false" ht="15" hidden="false" customHeight="false" outlineLevel="0" collapsed="false">
      <c r="A516" s="2" t="s">
        <v>2688</v>
      </c>
      <c r="B516" s="2" t="s">
        <v>2224</v>
      </c>
      <c r="C516" s="2" t="s">
        <v>1825</v>
      </c>
      <c r="D516" s="2" t="s">
        <v>2254</v>
      </c>
      <c r="E516" s="2" t="s">
        <v>2684</v>
      </c>
    </row>
    <row r="517" customFormat="false" ht="35.05" hidden="false" customHeight="false" outlineLevel="0" collapsed="false">
      <c r="A517" s="2" t="s">
        <v>2689</v>
      </c>
      <c r="B517" s="2" t="s">
        <v>2228</v>
      </c>
      <c r="C517" s="2" t="s">
        <v>2150</v>
      </c>
      <c r="D517" s="2" t="s">
        <v>2229</v>
      </c>
      <c r="E517" s="2" t="s">
        <v>2684</v>
      </c>
    </row>
    <row r="518" customFormat="false" ht="15" hidden="false" customHeight="false" outlineLevel="0" collapsed="false">
      <c r="A518" s="2" t="s">
        <v>2690</v>
      </c>
      <c r="B518" s="2" t="s">
        <v>2224</v>
      </c>
      <c r="C518" s="2" t="s">
        <v>1823</v>
      </c>
      <c r="D518" s="2" t="s">
        <v>2254</v>
      </c>
      <c r="E518" s="2" t="s">
        <v>2684</v>
      </c>
    </row>
    <row r="519" customFormat="false" ht="15" hidden="false" customHeight="false" outlineLevel="0" collapsed="false">
      <c r="A519" s="2" t="s">
        <v>2691</v>
      </c>
      <c r="B519" s="2" t="s">
        <v>2224</v>
      </c>
      <c r="C519" s="2" t="s">
        <v>1823</v>
      </c>
      <c r="D519" s="2" t="s">
        <v>2254</v>
      </c>
      <c r="E519" s="2" t="s">
        <v>2684</v>
      </c>
    </row>
    <row r="520" customFormat="false" ht="23.85" hidden="false" customHeight="false" outlineLevel="0" collapsed="false">
      <c r="A520" s="2" t="s">
        <v>2692</v>
      </c>
      <c r="B520" s="2" t="s">
        <v>2235</v>
      </c>
      <c r="C520" s="2" t="s">
        <v>2693</v>
      </c>
      <c r="D520" s="2" t="s">
        <v>2694</v>
      </c>
      <c r="E520" s="2" t="s">
        <v>2695</v>
      </c>
    </row>
    <row r="521" customFormat="false" ht="23.85" hidden="false" customHeight="false" outlineLevel="0" collapsed="false">
      <c r="A521" s="2" t="s">
        <v>2696</v>
      </c>
      <c r="B521" s="2" t="s">
        <v>2235</v>
      </c>
      <c r="C521" s="2" t="s">
        <v>2697</v>
      </c>
      <c r="D521" s="2" t="s">
        <v>2694</v>
      </c>
      <c r="E521" s="2" t="s">
        <v>2695</v>
      </c>
    </row>
    <row r="522" customFormat="false" ht="23.85" hidden="false" customHeight="false" outlineLevel="0" collapsed="false">
      <c r="A522" s="2" t="s">
        <v>2698</v>
      </c>
      <c r="B522" s="2" t="s">
        <v>2235</v>
      </c>
      <c r="C522" s="2" t="s">
        <v>2699</v>
      </c>
      <c r="D522" s="2" t="s">
        <v>2694</v>
      </c>
      <c r="E522" s="2" t="s">
        <v>2695</v>
      </c>
    </row>
    <row r="523" customFormat="false" ht="23.85" hidden="false" customHeight="false" outlineLevel="0" collapsed="false">
      <c r="A523" s="2" t="s">
        <v>2700</v>
      </c>
      <c r="B523" s="2" t="s">
        <v>2235</v>
      </c>
      <c r="C523" s="2" t="s">
        <v>2701</v>
      </c>
      <c r="D523" s="2" t="s">
        <v>2694</v>
      </c>
      <c r="E523" s="2" t="s">
        <v>2695</v>
      </c>
    </row>
    <row r="524" customFormat="false" ht="23.85" hidden="false" customHeight="false" outlineLevel="0" collapsed="false">
      <c r="A524" s="2" t="s">
        <v>2702</v>
      </c>
      <c r="B524" s="2" t="s">
        <v>2235</v>
      </c>
      <c r="C524" s="2" t="s">
        <v>2703</v>
      </c>
      <c r="D524" s="2" t="s">
        <v>2694</v>
      </c>
      <c r="E524" s="2" t="s">
        <v>2695</v>
      </c>
    </row>
    <row r="525" customFormat="false" ht="35.05" hidden="false" customHeight="false" outlineLevel="0" collapsed="false">
      <c r="A525" s="2" t="s">
        <v>2704</v>
      </c>
      <c r="B525" s="2" t="s">
        <v>2235</v>
      </c>
      <c r="C525" s="2" t="s">
        <v>2705</v>
      </c>
      <c r="D525" s="2" t="s">
        <v>2694</v>
      </c>
      <c r="E525" s="2" t="s">
        <v>2695</v>
      </c>
    </row>
    <row r="526" customFormat="false" ht="23.85" hidden="false" customHeight="false" outlineLevel="0" collapsed="false">
      <c r="A526" s="2" t="s">
        <v>2706</v>
      </c>
      <c r="B526" s="2" t="s">
        <v>2235</v>
      </c>
      <c r="C526" s="2" t="s">
        <v>2707</v>
      </c>
      <c r="D526" s="2" t="s">
        <v>2694</v>
      </c>
      <c r="E526" s="2" t="s">
        <v>2695</v>
      </c>
    </row>
    <row r="527" customFormat="false" ht="23.85" hidden="false" customHeight="false" outlineLevel="0" collapsed="false">
      <c r="A527" s="2" t="s">
        <v>2708</v>
      </c>
      <c r="B527" s="2" t="s">
        <v>2235</v>
      </c>
      <c r="C527" s="2" t="s">
        <v>2709</v>
      </c>
      <c r="D527" s="2" t="s">
        <v>2694</v>
      </c>
      <c r="E527" s="2" t="s">
        <v>2695</v>
      </c>
    </row>
    <row r="528" customFormat="false" ht="23.85" hidden="false" customHeight="false" outlineLevel="0" collapsed="false">
      <c r="A528" s="2" t="s">
        <v>2710</v>
      </c>
      <c r="B528" s="2" t="s">
        <v>2235</v>
      </c>
      <c r="C528" s="2" t="s">
        <v>2711</v>
      </c>
      <c r="D528" s="2" t="s">
        <v>2694</v>
      </c>
      <c r="E528" s="2" t="s">
        <v>2695</v>
      </c>
    </row>
    <row r="529" customFormat="false" ht="15" hidden="false" customHeight="false" outlineLevel="0" collapsed="false">
      <c r="A529" s="2" t="s">
        <v>2712</v>
      </c>
      <c r="B529" s="2" t="s">
        <v>2235</v>
      </c>
      <c r="C529" s="2" t="s">
        <v>2713</v>
      </c>
      <c r="D529" s="2" t="s">
        <v>2237</v>
      </c>
      <c r="E529" s="2" t="s">
        <v>2695</v>
      </c>
    </row>
    <row r="530" customFormat="false" ht="15" hidden="false" customHeight="false" outlineLevel="0" collapsed="false">
      <c r="A530" s="2" t="s">
        <v>2714</v>
      </c>
      <c r="B530" s="2" t="s">
        <v>2235</v>
      </c>
      <c r="C530" s="2" t="s">
        <v>2715</v>
      </c>
      <c r="D530" s="2" t="s">
        <v>2237</v>
      </c>
      <c r="E530" s="2" t="s">
        <v>2695</v>
      </c>
    </row>
    <row r="531" customFormat="false" ht="15" hidden="false" customHeight="false" outlineLevel="0" collapsed="false">
      <c r="A531" s="2" t="s">
        <v>2716</v>
      </c>
      <c r="B531" s="2" t="s">
        <v>2235</v>
      </c>
      <c r="C531" s="2" t="s">
        <v>2717</v>
      </c>
      <c r="D531" s="2" t="s">
        <v>2237</v>
      </c>
      <c r="E531" s="2" t="s">
        <v>2695</v>
      </c>
    </row>
    <row r="532" customFormat="false" ht="23.85" hidden="false" customHeight="false" outlineLevel="0" collapsed="false">
      <c r="A532" s="2" t="s">
        <v>2718</v>
      </c>
      <c r="B532" s="2" t="s">
        <v>2235</v>
      </c>
      <c r="C532" s="2" t="s">
        <v>2719</v>
      </c>
      <c r="D532" s="2" t="s">
        <v>2237</v>
      </c>
      <c r="E532" s="2" t="s">
        <v>2695</v>
      </c>
    </row>
    <row r="533" customFormat="false" ht="15" hidden="false" customHeight="false" outlineLevel="0" collapsed="false">
      <c r="A533" s="2" t="s">
        <v>2720</v>
      </c>
      <c r="B533" s="2" t="s">
        <v>2235</v>
      </c>
      <c r="C533" s="2" t="s">
        <v>2721</v>
      </c>
      <c r="D533" s="2" t="s">
        <v>2237</v>
      </c>
      <c r="E533" s="2" t="s">
        <v>2695</v>
      </c>
    </row>
    <row r="534" customFormat="false" ht="23.85" hidden="false" customHeight="false" outlineLevel="0" collapsed="false">
      <c r="A534" s="2" t="s">
        <v>2722</v>
      </c>
      <c r="B534" s="2" t="s">
        <v>2235</v>
      </c>
      <c r="C534" s="2" t="s">
        <v>2723</v>
      </c>
      <c r="D534" s="2" t="s">
        <v>2237</v>
      </c>
      <c r="E534" s="2" t="s">
        <v>2695</v>
      </c>
    </row>
    <row r="535" customFormat="false" ht="35.05" hidden="false" customHeight="false" outlineLevel="0" collapsed="false">
      <c r="A535" s="2" t="s">
        <v>2040</v>
      </c>
      <c r="B535" s="2" t="s">
        <v>2724</v>
      </c>
      <c r="C535" s="2" t="s">
        <v>2725</v>
      </c>
      <c r="D535" s="2" t="s">
        <v>2726</v>
      </c>
      <c r="E535" s="2" t="s">
        <v>2247</v>
      </c>
    </row>
    <row r="536" customFormat="false" ht="35.05" hidden="false" customHeight="false" outlineLevel="0" collapsed="false">
      <c r="A536" s="2" t="s">
        <v>2076</v>
      </c>
      <c r="B536" s="2" t="s">
        <v>2724</v>
      </c>
      <c r="C536" s="2" t="s">
        <v>2727</v>
      </c>
      <c r="D536" s="2" t="s">
        <v>2726</v>
      </c>
      <c r="E536" s="2" t="s">
        <v>2321</v>
      </c>
    </row>
    <row r="537" customFormat="false" ht="35.05" hidden="false" customHeight="false" outlineLevel="0" collapsed="false">
      <c r="A537" s="2" t="s">
        <v>2180</v>
      </c>
      <c r="B537" s="2" t="s">
        <v>2724</v>
      </c>
      <c r="C537" s="2" t="s">
        <v>2728</v>
      </c>
      <c r="D537" s="2" t="s">
        <v>2726</v>
      </c>
      <c r="E537" s="2" t="s">
        <v>2729</v>
      </c>
    </row>
    <row r="538" customFormat="false" ht="35.05" hidden="false" customHeight="false" outlineLevel="0" collapsed="false">
      <c r="A538" s="2" t="s">
        <v>1520</v>
      </c>
      <c r="B538" s="2" t="s">
        <v>2724</v>
      </c>
      <c r="C538" s="2" t="s">
        <v>2728</v>
      </c>
      <c r="D538" s="2" t="s">
        <v>2726</v>
      </c>
      <c r="E538" s="2" t="s">
        <v>2491</v>
      </c>
    </row>
    <row r="539" customFormat="false" ht="35.05" hidden="false" customHeight="false" outlineLevel="0" collapsed="false">
      <c r="A539" s="2" t="s">
        <v>2200</v>
      </c>
      <c r="B539" s="2" t="s">
        <v>2724</v>
      </c>
      <c r="C539" s="2" t="s">
        <v>2728</v>
      </c>
      <c r="D539" s="2" t="s">
        <v>2726</v>
      </c>
      <c r="E539" s="2" t="s">
        <v>2491</v>
      </c>
    </row>
    <row r="540" customFormat="false" ht="35.05" hidden="false" customHeight="false" outlineLevel="0" collapsed="false">
      <c r="A540" s="2" t="s">
        <v>2074</v>
      </c>
      <c r="B540" s="2" t="s">
        <v>2724</v>
      </c>
      <c r="C540" s="2" t="s">
        <v>2728</v>
      </c>
      <c r="D540" s="2" t="s">
        <v>2726</v>
      </c>
      <c r="E540" s="2" t="s">
        <v>2627</v>
      </c>
    </row>
    <row r="541" customFormat="false" ht="35.05" hidden="false" customHeight="false" outlineLevel="0" collapsed="false">
      <c r="A541" s="2" t="s">
        <v>2216</v>
      </c>
      <c r="B541" s="2" t="s">
        <v>2724</v>
      </c>
      <c r="C541" s="2" t="s">
        <v>2728</v>
      </c>
      <c r="D541" s="2" t="s">
        <v>2726</v>
      </c>
      <c r="E541" s="2" t="s">
        <v>2321</v>
      </c>
    </row>
    <row r="542" customFormat="false" ht="35.05" hidden="false" customHeight="false" outlineLevel="0" collapsed="false">
      <c r="A542" s="2" t="s">
        <v>1461</v>
      </c>
      <c r="B542" s="2" t="s">
        <v>2724</v>
      </c>
      <c r="C542" s="2" t="s">
        <v>2730</v>
      </c>
      <c r="D542" s="2" t="s">
        <v>2726</v>
      </c>
      <c r="E542" s="2" t="s">
        <v>2372</v>
      </c>
    </row>
    <row r="543" customFormat="false" ht="35.05" hidden="false" customHeight="false" outlineLevel="0" collapsed="false">
      <c r="A543" s="2" t="s">
        <v>1546</v>
      </c>
      <c r="B543" s="2" t="s">
        <v>2724</v>
      </c>
      <c r="C543" s="2" t="s">
        <v>2730</v>
      </c>
      <c r="D543" s="2" t="s">
        <v>2726</v>
      </c>
      <c r="E543" s="2" t="s">
        <v>2578</v>
      </c>
    </row>
    <row r="544" customFormat="false" ht="35.05" hidden="false" customHeight="false" outlineLevel="0" collapsed="false">
      <c r="A544" s="2" t="s">
        <v>2211</v>
      </c>
      <c r="B544" s="2" t="s">
        <v>2724</v>
      </c>
      <c r="C544" s="2" t="s">
        <v>2730</v>
      </c>
      <c r="D544" s="2" t="s">
        <v>2726</v>
      </c>
      <c r="E544" s="2" t="s">
        <v>2648</v>
      </c>
    </row>
    <row r="545" customFormat="false" ht="35.05" hidden="false" customHeight="false" outlineLevel="0" collapsed="false">
      <c r="A545" s="2" t="s">
        <v>2217</v>
      </c>
      <c r="B545" s="2" t="s">
        <v>2724</v>
      </c>
      <c r="C545" s="2" t="s">
        <v>2730</v>
      </c>
      <c r="D545" s="2" t="s">
        <v>2726</v>
      </c>
      <c r="E545" s="2" t="s">
        <v>2321</v>
      </c>
    </row>
    <row r="546" customFormat="false" ht="35.05" hidden="false" customHeight="false" outlineLevel="0" collapsed="false">
      <c r="A546" s="2" t="s">
        <v>1994</v>
      </c>
      <c r="B546" s="2" t="s">
        <v>2724</v>
      </c>
      <c r="C546" s="2" t="s">
        <v>2731</v>
      </c>
      <c r="D546" s="2" t="s">
        <v>2726</v>
      </c>
      <c r="E546" s="2" t="s">
        <v>2226</v>
      </c>
    </row>
    <row r="547" customFormat="false" ht="35.05" hidden="false" customHeight="false" outlineLevel="0" collapsed="false">
      <c r="A547" s="2" t="s">
        <v>2219</v>
      </c>
      <c r="B547" s="2" t="s">
        <v>2724</v>
      </c>
      <c r="C547" s="2" t="s">
        <v>2731</v>
      </c>
      <c r="D547" s="2" t="s">
        <v>2726</v>
      </c>
      <c r="E547" s="2" t="s">
        <v>2321</v>
      </c>
    </row>
    <row r="548" customFormat="false" ht="35.05" hidden="false" customHeight="false" outlineLevel="0" collapsed="false">
      <c r="A548" s="2" t="s">
        <v>1447</v>
      </c>
      <c r="B548" s="2" t="s">
        <v>2724</v>
      </c>
      <c r="C548" s="2" t="s">
        <v>2732</v>
      </c>
      <c r="D548" s="2" t="s">
        <v>2726</v>
      </c>
      <c r="E548" s="2" t="s">
        <v>2491</v>
      </c>
    </row>
    <row r="549" customFormat="false" ht="35.05" hidden="false" customHeight="false" outlineLevel="0" collapsed="false">
      <c r="A549" s="2" t="s">
        <v>1550</v>
      </c>
      <c r="B549" s="2" t="s">
        <v>2724</v>
      </c>
      <c r="C549" s="2" t="s">
        <v>2732</v>
      </c>
      <c r="D549" s="2" t="s">
        <v>2726</v>
      </c>
      <c r="E549" s="2" t="s">
        <v>2491</v>
      </c>
    </row>
    <row r="550" customFormat="false" ht="35.05" hidden="false" customHeight="false" outlineLevel="0" collapsed="false">
      <c r="A550" s="2" t="s">
        <v>1452</v>
      </c>
      <c r="B550" s="2" t="s">
        <v>2724</v>
      </c>
      <c r="C550" s="2" t="s">
        <v>2732</v>
      </c>
      <c r="D550" s="2" t="s">
        <v>2726</v>
      </c>
      <c r="E550" s="2" t="s">
        <v>2631</v>
      </c>
    </row>
    <row r="551" customFormat="false" ht="35.05" hidden="false" customHeight="false" outlineLevel="0" collapsed="false">
      <c r="A551" s="2" t="s">
        <v>2191</v>
      </c>
      <c r="B551" s="2" t="s">
        <v>2724</v>
      </c>
      <c r="C551" s="2" t="s">
        <v>2733</v>
      </c>
      <c r="D551" s="2" t="s">
        <v>2726</v>
      </c>
      <c r="E551" s="2" t="s">
        <v>2298</v>
      </c>
    </row>
    <row r="552" customFormat="false" ht="35.05" hidden="false" customHeight="false" outlineLevel="0" collapsed="false">
      <c r="A552" s="2" t="s">
        <v>1379</v>
      </c>
      <c r="B552" s="2" t="s">
        <v>2724</v>
      </c>
      <c r="C552" s="2" t="s">
        <v>2733</v>
      </c>
      <c r="D552" s="2" t="s">
        <v>2726</v>
      </c>
      <c r="E552" s="2" t="s">
        <v>2326</v>
      </c>
    </row>
    <row r="553" customFormat="false" ht="35.05" hidden="false" customHeight="false" outlineLevel="0" collapsed="false">
      <c r="A553" s="2" t="s">
        <v>1388</v>
      </c>
      <c r="B553" s="2" t="s">
        <v>2724</v>
      </c>
      <c r="C553" s="2" t="s">
        <v>2733</v>
      </c>
      <c r="D553" s="2" t="s">
        <v>2726</v>
      </c>
      <c r="E553" s="2" t="s">
        <v>2491</v>
      </c>
    </row>
    <row r="554" customFormat="false" ht="35.05" hidden="false" customHeight="false" outlineLevel="0" collapsed="false">
      <c r="A554" s="2" t="s">
        <v>1436</v>
      </c>
      <c r="B554" s="2" t="s">
        <v>2724</v>
      </c>
      <c r="C554" s="2" t="s">
        <v>2733</v>
      </c>
      <c r="D554" s="2" t="s">
        <v>2726</v>
      </c>
      <c r="E554" s="2" t="s">
        <v>2578</v>
      </c>
    </row>
    <row r="555" customFormat="false" ht="35.05" hidden="false" customHeight="false" outlineLevel="0" collapsed="false">
      <c r="A555" s="2" t="s">
        <v>1756</v>
      </c>
      <c r="B555" s="2" t="s">
        <v>2724</v>
      </c>
      <c r="C555" s="2" t="s">
        <v>2734</v>
      </c>
      <c r="D555" s="2" t="s">
        <v>2726</v>
      </c>
      <c r="E555" s="2" t="s">
        <v>2268</v>
      </c>
    </row>
    <row r="556" customFormat="false" ht="35.05" hidden="false" customHeight="false" outlineLevel="0" collapsed="false">
      <c r="A556" s="2" t="s">
        <v>1364</v>
      </c>
      <c r="B556" s="2" t="s">
        <v>2724</v>
      </c>
      <c r="C556" s="2" t="s">
        <v>2734</v>
      </c>
      <c r="D556" s="2" t="s">
        <v>2726</v>
      </c>
      <c r="E556" s="2" t="s">
        <v>2551</v>
      </c>
    </row>
    <row r="557" customFormat="false" ht="35.05" hidden="false" customHeight="false" outlineLevel="0" collapsed="false">
      <c r="A557" s="2" t="s">
        <v>1493</v>
      </c>
      <c r="B557" s="2" t="s">
        <v>2724</v>
      </c>
      <c r="C557" s="2" t="s">
        <v>2735</v>
      </c>
      <c r="D557" s="2" t="s">
        <v>2726</v>
      </c>
      <c r="E557" s="2" t="s">
        <v>2338</v>
      </c>
    </row>
    <row r="558" customFormat="false" ht="35.05" hidden="false" customHeight="false" outlineLevel="0" collapsed="false">
      <c r="A558" s="2" t="s">
        <v>2197</v>
      </c>
      <c r="B558" s="2" t="s">
        <v>2724</v>
      </c>
      <c r="C558" s="2" t="s">
        <v>2735</v>
      </c>
      <c r="D558" s="2" t="s">
        <v>2726</v>
      </c>
      <c r="E558" s="2" t="s">
        <v>2252</v>
      </c>
    </row>
    <row r="559" customFormat="false" ht="35.05" hidden="false" customHeight="false" outlineLevel="0" collapsed="false">
      <c r="A559" s="2" t="s">
        <v>1534</v>
      </c>
      <c r="B559" s="2" t="s">
        <v>2724</v>
      </c>
      <c r="C559" s="2" t="s">
        <v>2735</v>
      </c>
      <c r="D559" s="2" t="s">
        <v>2726</v>
      </c>
      <c r="E559" s="2" t="s">
        <v>2512</v>
      </c>
    </row>
    <row r="560" customFormat="false" ht="35.05" hidden="false" customHeight="false" outlineLevel="0" collapsed="false">
      <c r="A560" s="2" t="s">
        <v>1443</v>
      </c>
      <c r="B560" s="2" t="s">
        <v>2724</v>
      </c>
      <c r="C560" s="2" t="s">
        <v>2735</v>
      </c>
      <c r="D560" s="2" t="s">
        <v>2726</v>
      </c>
      <c r="E560" s="2" t="s">
        <v>2578</v>
      </c>
    </row>
    <row r="561" customFormat="false" ht="35.05" hidden="false" customHeight="false" outlineLevel="0" collapsed="false">
      <c r="A561" s="2" t="s">
        <v>2205</v>
      </c>
      <c r="B561" s="2" t="s">
        <v>2724</v>
      </c>
      <c r="C561" s="2" t="s">
        <v>2735</v>
      </c>
      <c r="D561" s="2" t="s">
        <v>2726</v>
      </c>
      <c r="E561" s="2" t="s">
        <v>2578</v>
      </c>
    </row>
    <row r="562" customFormat="false" ht="35.05" hidden="false" customHeight="false" outlineLevel="0" collapsed="false">
      <c r="A562" s="2" t="s">
        <v>2207</v>
      </c>
      <c r="B562" s="2" t="s">
        <v>2724</v>
      </c>
      <c r="C562" s="2" t="s">
        <v>2735</v>
      </c>
      <c r="D562" s="2" t="s">
        <v>2726</v>
      </c>
      <c r="E562" s="2" t="s">
        <v>2578</v>
      </c>
    </row>
    <row r="563" customFormat="false" ht="35.05" hidden="false" customHeight="false" outlineLevel="0" collapsed="false">
      <c r="A563" s="2" t="s">
        <v>2208</v>
      </c>
      <c r="B563" s="2" t="s">
        <v>2724</v>
      </c>
      <c r="C563" s="2" t="s">
        <v>2735</v>
      </c>
      <c r="D563" s="2" t="s">
        <v>2726</v>
      </c>
      <c r="E563" s="2" t="s">
        <v>2627</v>
      </c>
    </row>
    <row r="564" customFormat="false" ht="35.05" hidden="false" customHeight="false" outlineLevel="0" collapsed="false">
      <c r="A564" s="2" t="s">
        <v>2171</v>
      </c>
      <c r="B564" s="2" t="s">
        <v>2724</v>
      </c>
      <c r="C564" s="2" t="s">
        <v>2736</v>
      </c>
      <c r="D564" s="2" t="s">
        <v>2726</v>
      </c>
      <c r="E564" s="2" t="s">
        <v>2226</v>
      </c>
    </row>
    <row r="565" customFormat="false" ht="35.05" hidden="false" customHeight="false" outlineLevel="0" collapsed="false">
      <c r="A565" s="2" t="s">
        <v>1479</v>
      </c>
      <c r="B565" s="2" t="s">
        <v>2724</v>
      </c>
      <c r="C565" s="2" t="s">
        <v>2736</v>
      </c>
      <c r="D565" s="2" t="s">
        <v>2726</v>
      </c>
      <c r="E565" s="2" t="s">
        <v>2491</v>
      </c>
    </row>
    <row r="566" customFormat="false" ht="35.05" hidden="false" customHeight="false" outlineLevel="0" collapsed="false">
      <c r="A566" s="2" t="s">
        <v>1894</v>
      </c>
      <c r="B566" s="2" t="s">
        <v>2724</v>
      </c>
      <c r="C566" s="2" t="s">
        <v>2736</v>
      </c>
      <c r="D566" s="2" t="s">
        <v>2726</v>
      </c>
      <c r="E566" s="2" t="s">
        <v>2500</v>
      </c>
    </row>
    <row r="567" customFormat="false" ht="35.05" hidden="false" customHeight="false" outlineLevel="0" collapsed="false">
      <c r="A567" s="2" t="s">
        <v>1384</v>
      </c>
      <c r="B567" s="2" t="s">
        <v>2724</v>
      </c>
      <c r="C567" s="2" t="s">
        <v>2736</v>
      </c>
      <c r="D567" s="2" t="s">
        <v>2726</v>
      </c>
      <c r="E567" s="2" t="s">
        <v>2500</v>
      </c>
    </row>
    <row r="568" customFormat="false" ht="35.05" hidden="false" customHeight="false" outlineLevel="0" collapsed="false">
      <c r="A568" s="2" t="s">
        <v>2203</v>
      </c>
      <c r="B568" s="2" t="s">
        <v>2724</v>
      </c>
      <c r="C568" s="2" t="s">
        <v>2736</v>
      </c>
      <c r="D568" s="2" t="s">
        <v>2726</v>
      </c>
      <c r="E568" s="2" t="s">
        <v>2578</v>
      </c>
    </row>
    <row r="569" customFormat="false" ht="35.05" hidden="false" customHeight="false" outlineLevel="0" collapsed="false">
      <c r="A569" s="2" t="s">
        <v>2179</v>
      </c>
      <c r="B569" s="2" t="s">
        <v>2724</v>
      </c>
      <c r="C569" s="2" t="s">
        <v>2737</v>
      </c>
      <c r="D569" s="2" t="s">
        <v>2726</v>
      </c>
      <c r="E569" s="2" t="s">
        <v>2255</v>
      </c>
    </row>
    <row r="570" customFormat="false" ht="35.05" hidden="false" customHeight="false" outlineLevel="0" collapsed="false">
      <c r="A570" s="2" t="s">
        <v>1298</v>
      </c>
      <c r="B570" s="2" t="s">
        <v>2724</v>
      </c>
      <c r="C570" s="2" t="s">
        <v>2737</v>
      </c>
      <c r="D570" s="2" t="s">
        <v>2726</v>
      </c>
      <c r="E570" s="2" t="s">
        <v>2326</v>
      </c>
    </row>
    <row r="571" customFormat="false" ht="35.05" hidden="false" customHeight="false" outlineLevel="0" collapsed="false">
      <c r="A571" s="2" t="s">
        <v>1863</v>
      </c>
      <c r="B571" s="2" t="s">
        <v>2724</v>
      </c>
      <c r="C571" s="2" t="s">
        <v>2737</v>
      </c>
      <c r="D571" s="2" t="s">
        <v>2726</v>
      </c>
      <c r="E571" s="2" t="s">
        <v>2347</v>
      </c>
    </row>
    <row r="572" customFormat="false" ht="35.05" hidden="false" customHeight="false" outlineLevel="0" collapsed="false">
      <c r="A572" s="2" t="s">
        <v>1731</v>
      </c>
      <c r="B572" s="2" t="s">
        <v>2724</v>
      </c>
      <c r="C572" s="2" t="s">
        <v>2737</v>
      </c>
      <c r="D572" s="2" t="s">
        <v>2726</v>
      </c>
      <c r="E572" s="2" t="s">
        <v>2491</v>
      </c>
    </row>
    <row r="573" customFormat="false" ht="35.05" hidden="false" customHeight="false" outlineLevel="0" collapsed="false">
      <c r="A573" s="2" t="s">
        <v>2071</v>
      </c>
      <c r="B573" s="2" t="s">
        <v>2724</v>
      </c>
      <c r="C573" s="2" t="s">
        <v>2737</v>
      </c>
      <c r="D573" s="2" t="s">
        <v>2726</v>
      </c>
      <c r="E573" s="2" t="s">
        <v>2491</v>
      </c>
    </row>
    <row r="574" customFormat="false" ht="35.05" hidden="false" customHeight="false" outlineLevel="0" collapsed="false">
      <c r="A574" s="2" t="s">
        <v>1538</v>
      </c>
      <c r="B574" s="2" t="s">
        <v>2724</v>
      </c>
      <c r="C574" s="2" t="s">
        <v>2737</v>
      </c>
      <c r="D574" s="2" t="s">
        <v>2726</v>
      </c>
      <c r="E574" s="2" t="s">
        <v>2578</v>
      </c>
    </row>
    <row r="575" customFormat="false" ht="35.05" hidden="false" customHeight="false" outlineLevel="0" collapsed="false">
      <c r="A575" s="2" t="s">
        <v>2209</v>
      </c>
      <c r="B575" s="2" t="s">
        <v>2724</v>
      </c>
      <c r="C575" s="2" t="s">
        <v>2737</v>
      </c>
      <c r="D575" s="2" t="s">
        <v>2726</v>
      </c>
      <c r="E575" s="2" t="s">
        <v>2627</v>
      </c>
    </row>
    <row r="576" customFormat="false" ht="35.05" hidden="false" customHeight="false" outlineLevel="0" collapsed="false">
      <c r="A576" s="2" t="s">
        <v>1454</v>
      </c>
      <c r="B576" s="2" t="s">
        <v>2724</v>
      </c>
      <c r="C576" s="2" t="s">
        <v>2737</v>
      </c>
      <c r="D576" s="2" t="s">
        <v>2726</v>
      </c>
      <c r="E576" s="2" t="s">
        <v>2631</v>
      </c>
    </row>
    <row r="577" customFormat="false" ht="35.05" hidden="false" customHeight="false" outlineLevel="0" collapsed="false">
      <c r="A577" s="2" t="s">
        <v>2210</v>
      </c>
      <c r="B577" s="2" t="s">
        <v>2724</v>
      </c>
      <c r="C577" s="2" t="s">
        <v>2737</v>
      </c>
      <c r="D577" s="2" t="s">
        <v>2726</v>
      </c>
      <c r="E577" s="2" t="s">
        <v>1149</v>
      </c>
    </row>
    <row r="578" customFormat="false" ht="35.05" hidden="false" customHeight="false" outlineLevel="0" collapsed="false">
      <c r="A578" s="2" t="s">
        <v>1530</v>
      </c>
      <c r="B578" s="2" t="s">
        <v>2724</v>
      </c>
      <c r="C578" s="2" t="s">
        <v>2737</v>
      </c>
      <c r="D578" s="2" t="s">
        <v>2726</v>
      </c>
      <c r="E578" s="2" t="s">
        <v>2648</v>
      </c>
    </row>
    <row r="579" customFormat="false" ht="35.05" hidden="false" customHeight="false" outlineLevel="0" collapsed="false">
      <c r="A579" s="2" t="s">
        <v>1353</v>
      </c>
      <c r="B579" s="2" t="s">
        <v>2724</v>
      </c>
      <c r="C579" s="2" t="s">
        <v>2738</v>
      </c>
      <c r="D579" s="2" t="s">
        <v>2726</v>
      </c>
      <c r="E579" s="2" t="s">
        <v>2326</v>
      </c>
    </row>
    <row r="580" customFormat="false" ht="35.05" hidden="false" customHeight="false" outlineLevel="0" collapsed="false">
      <c r="A580" s="2" t="s">
        <v>2050</v>
      </c>
      <c r="B580" s="2" t="s">
        <v>2724</v>
      </c>
      <c r="C580" s="2" t="s">
        <v>2738</v>
      </c>
      <c r="D580" s="2" t="s">
        <v>2726</v>
      </c>
      <c r="E580" s="2" t="s">
        <v>2326</v>
      </c>
    </row>
    <row r="581" customFormat="false" ht="35.05" hidden="false" customHeight="false" outlineLevel="0" collapsed="false">
      <c r="A581" s="2" t="s">
        <v>1525</v>
      </c>
      <c r="B581" s="2" t="s">
        <v>2724</v>
      </c>
      <c r="C581" s="2" t="s">
        <v>2738</v>
      </c>
      <c r="D581" s="2" t="s">
        <v>2726</v>
      </c>
      <c r="E581" s="2" t="s">
        <v>2298</v>
      </c>
    </row>
    <row r="582" customFormat="false" ht="35.05" hidden="false" customHeight="false" outlineLevel="0" collapsed="false">
      <c r="A582" s="2" t="s">
        <v>1762</v>
      </c>
      <c r="B582" s="2" t="s">
        <v>2724</v>
      </c>
      <c r="C582" s="2" t="s">
        <v>2738</v>
      </c>
      <c r="D582" s="2" t="s">
        <v>2726</v>
      </c>
      <c r="E582" s="2" t="s">
        <v>2347</v>
      </c>
    </row>
    <row r="583" customFormat="false" ht="35.05" hidden="false" customHeight="false" outlineLevel="0" collapsed="false">
      <c r="A583" s="2" t="s">
        <v>2198</v>
      </c>
      <c r="B583" s="2" t="s">
        <v>2724</v>
      </c>
      <c r="C583" s="2" t="s">
        <v>2738</v>
      </c>
      <c r="D583" s="2" t="s">
        <v>2726</v>
      </c>
      <c r="E583" s="2" t="s">
        <v>2252</v>
      </c>
    </row>
    <row r="584" customFormat="false" ht="35.05" hidden="false" customHeight="false" outlineLevel="0" collapsed="false">
      <c r="A584" s="2" t="s">
        <v>1554</v>
      </c>
      <c r="B584" s="2" t="s">
        <v>2724</v>
      </c>
      <c r="C584" s="2" t="s">
        <v>2738</v>
      </c>
      <c r="D584" s="2" t="s">
        <v>2726</v>
      </c>
      <c r="E584" s="2" t="s">
        <v>2252</v>
      </c>
    </row>
    <row r="585" customFormat="false" ht="35.05" hidden="false" customHeight="false" outlineLevel="0" collapsed="false">
      <c r="A585" s="2" t="s">
        <v>2199</v>
      </c>
      <c r="B585" s="2" t="s">
        <v>2724</v>
      </c>
      <c r="C585" s="2" t="s">
        <v>2738</v>
      </c>
      <c r="D585" s="2" t="s">
        <v>2726</v>
      </c>
      <c r="E585" s="2" t="s">
        <v>2500</v>
      </c>
    </row>
    <row r="586" customFormat="false" ht="35.05" hidden="false" customHeight="false" outlineLevel="0" collapsed="false">
      <c r="A586" s="2" t="s">
        <v>1316</v>
      </c>
      <c r="B586" s="2" t="s">
        <v>2724</v>
      </c>
      <c r="C586" s="2" t="s">
        <v>2738</v>
      </c>
      <c r="D586" s="2" t="s">
        <v>2726</v>
      </c>
      <c r="E586" s="2" t="s">
        <v>2578</v>
      </c>
    </row>
    <row r="587" customFormat="false" ht="35.05" hidden="false" customHeight="false" outlineLevel="0" collapsed="false">
      <c r="A587" s="2" t="s">
        <v>2206</v>
      </c>
      <c r="B587" s="2" t="s">
        <v>2724</v>
      </c>
      <c r="C587" s="2" t="s">
        <v>2738</v>
      </c>
      <c r="D587" s="2" t="s">
        <v>2726</v>
      </c>
      <c r="E587" s="2" t="s">
        <v>2578</v>
      </c>
    </row>
    <row r="588" customFormat="false" ht="35.05" hidden="false" customHeight="false" outlineLevel="0" collapsed="false">
      <c r="A588" s="2" t="s">
        <v>2170</v>
      </c>
      <c r="B588" s="2" t="s">
        <v>2724</v>
      </c>
      <c r="C588" s="2" t="s">
        <v>2739</v>
      </c>
      <c r="D588" s="2" t="s">
        <v>2726</v>
      </c>
      <c r="E588" s="2" t="s">
        <v>2226</v>
      </c>
    </row>
    <row r="589" customFormat="false" ht="35.05" hidden="false" customHeight="false" outlineLevel="0" collapsed="false">
      <c r="A589" s="2" t="s">
        <v>2173</v>
      </c>
      <c r="B589" s="2" t="s">
        <v>2724</v>
      </c>
      <c r="C589" s="2" t="s">
        <v>2739</v>
      </c>
      <c r="D589" s="2" t="s">
        <v>2726</v>
      </c>
      <c r="E589" s="2" t="s">
        <v>2247</v>
      </c>
    </row>
    <row r="590" customFormat="false" ht="35.05" hidden="false" customHeight="false" outlineLevel="0" collapsed="false">
      <c r="A590" s="2" t="s">
        <v>2181</v>
      </c>
      <c r="B590" s="2" t="s">
        <v>2724</v>
      </c>
      <c r="C590" s="2" t="s">
        <v>2739</v>
      </c>
      <c r="D590" s="2" t="s">
        <v>2726</v>
      </c>
      <c r="E590" s="2" t="s">
        <v>2729</v>
      </c>
    </row>
    <row r="591" customFormat="false" ht="35.05" hidden="false" customHeight="false" outlineLevel="0" collapsed="false">
      <c r="A591" s="2" t="s">
        <v>1307</v>
      </c>
      <c r="B591" s="2" t="s">
        <v>2724</v>
      </c>
      <c r="C591" s="2" t="s">
        <v>2739</v>
      </c>
      <c r="D591" s="2" t="s">
        <v>2726</v>
      </c>
      <c r="E591" s="2" t="s">
        <v>2255</v>
      </c>
    </row>
    <row r="592" customFormat="false" ht="35.05" hidden="false" customHeight="false" outlineLevel="0" collapsed="false">
      <c r="A592" s="2" t="s">
        <v>1344</v>
      </c>
      <c r="B592" s="2" t="s">
        <v>2724</v>
      </c>
      <c r="C592" s="2" t="s">
        <v>2739</v>
      </c>
      <c r="D592" s="2" t="s">
        <v>2726</v>
      </c>
      <c r="E592" s="2" t="s">
        <v>2491</v>
      </c>
    </row>
    <row r="593" customFormat="false" ht="35.05" hidden="false" customHeight="false" outlineLevel="0" collapsed="false">
      <c r="A593" s="2" t="s">
        <v>1373</v>
      </c>
      <c r="B593" s="2" t="s">
        <v>2724</v>
      </c>
      <c r="C593" s="2" t="s">
        <v>2739</v>
      </c>
      <c r="D593" s="2" t="s">
        <v>2726</v>
      </c>
      <c r="E593" s="2" t="s">
        <v>2500</v>
      </c>
    </row>
    <row r="594" customFormat="false" ht="35.05" hidden="false" customHeight="false" outlineLevel="0" collapsed="false">
      <c r="A594" s="2" t="s">
        <v>1872</v>
      </c>
      <c r="B594" s="2" t="s">
        <v>2724</v>
      </c>
      <c r="C594" s="2" t="s">
        <v>2739</v>
      </c>
      <c r="D594" s="2" t="s">
        <v>2726</v>
      </c>
      <c r="E594" s="2" t="s">
        <v>2296</v>
      </c>
    </row>
    <row r="595" customFormat="false" ht="35.05" hidden="false" customHeight="false" outlineLevel="0" collapsed="false">
      <c r="A595" s="2" t="s">
        <v>1248</v>
      </c>
      <c r="B595" s="2" t="s">
        <v>2724</v>
      </c>
      <c r="C595" s="2" t="s">
        <v>2739</v>
      </c>
      <c r="D595" s="2" t="s">
        <v>2726</v>
      </c>
      <c r="E595" s="2" t="s">
        <v>2578</v>
      </c>
    </row>
    <row r="596" customFormat="false" ht="35.05" hidden="false" customHeight="false" outlineLevel="0" collapsed="false">
      <c r="A596" s="2" t="s">
        <v>1475</v>
      </c>
      <c r="B596" s="2" t="s">
        <v>2724</v>
      </c>
      <c r="C596" s="2" t="s">
        <v>2739</v>
      </c>
      <c r="D596" s="2" t="s">
        <v>2726</v>
      </c>
      <c r="E596" s="2" t="s">
        <v>2578</v>
      </c>
    </row>
    <row r="597" customFormat="false" ht="35.05" hidden="false" customHeight="false" outlineLevel="0" collapsed="false">
      <c r="A597" s="2" t="s">
        <v>2212</v>
      </c>
      <c r="B597" s="2" t="s">
        <v>2724</v>
      </c>
      <c r="C597" s="2" t="s">
        <v>2739</v>
      </c>
      <c r="D597" s="2" t="s">
        <v>2726</v>
      </c>
      <c r="E597" s="2" t="s">
        <v>1162</v>
      </c>
    </row>
    <row r="598" customFormat="false" ht="35.05" hidden="false" customHeight="false" outlineLevel="0" collapsed="false">
      <c r="A598" s="2" t="s">
        <v>1803</v>
      </c>
      <c r="B598" s="2" t="s">
        <v>2724</v>
      </c>
      <c r="C598" s="2" t="s">
        <v>2739</v>
      </c>
      <c r="D598" s="2" t="s">
        <v>2726</v>
      </c>
      <c r="E598" s="2" t="s">
        <v>2684</v>
      </c>
    </row>
    <row r="599" customFormat="false" ht="35.05" hidden="false" customHeight="false" outlineLevel="0" collapsed="false">
      <c r="A599" s="2" t="s">
        <v>1515</v>
      </c>
      <c r="B599" s="2" t="s">
        <v>2724</v>
      </c>
      <c r="C599" s="2" t="s">
        <v>2740</v>
      </c>
      <c r="D599" s="2" t="s">
        <v>2726</v>
      </c>
      <c r="E599" s="2" t="s">
        <v>2255</v>
      </c>
    </row>
    <row r="600" customFormat="false" ht="35.05" hidden="false" customHeight="false" outlineLevel="0" collapsed="false">
      <c r="A600" s="2" t="s">
        <v>1407</v>
      </c>
      <c r="B600" s="2" t="s">
        <v>2724</v>
      </c>
      <c r="C600" s="2" t="s">
        <v>2740</v>
      </c>
      <c r="D600" s="2" t="s">
        <v>2726</v>
      </c>
      <c r="E600" s="2" t="s">
        <v>2347</v>
      </c>
    </row>
    <row r="601" customFormat="false" ht="35.05" hidden="false" customHeight="false" outlineLevel="0" collapsed="false">
      <c r="A601" s="2" t="s">
        <v>1262</v>
      </c>
      <c r="B601" s="2" t="s">
        <v>2724</v>
      </c>
      <c r="C601" s="2" t="s">
        <v>2740</v>
      </c>
      <c r="D601" s="2" t="s">
        <v>2726</v>
      </c>
      <c r="E601" s="2" t="s">
        <v>2347</v>
      </c>
    </row>
    <row r="602" customFormat="false" ht="35.05" hidden="false" customHeight="false" outlineLevel="0" collapsed="false">
      <c r="A602" s="2" t="s">
        <v>2196</v>
      </c>
      <c r="B602" s="2" t="s">
        <v>2724</v>
      </c>
      <c r="C602" s="2" t="s">
        <v>2740</v>
      </c>
      <c r="D602" s="2" t="s">
        <v>2726</v>
      </c>
      <c r="E602" s="2" t="s">
        <v>2464</v>
      </c>
    </row>
    <row r="603" customFormat="false" ht="35.05" hidden="false" customHeight="false" outlineLevel="0" collapsed="false">
      <c r="A603" s="2" t="s">
        <v>1733</v>
      </c>
      <c r="B603" s="2" t="s">
        <v>2724</v>
      </c>
      <c r="C603" s="2" t="s">
        <v>2740</v>
      </c>
      <c r="D603" s="2" t="s">
        <v>2726</v>
      </c>
      <c r="E603" s="2" t="s">
        <v>2491</v>
      </c>
    </row>
    <row r="604" customFormat="false" ht="35.05" hidden="false" customHeight="false" outlineLevel="0" collapsed="false">
      <c r="A604" s="2" t="s">
        <v>1292</v>
      </c>
      <c r="B604" s="2" t="s">
        <v>2724</v>
      </c>
      <c r="C604" s="2" t="s">
        <v>2740</v>
      </c>
      <c r="D604" s="2" t="s">
        <v>2726</v>
      </c>
      <c r="E604" s="2" t="s">
        <v>2347</v>
      </c>
    </row>
    <row r="605" customFormat="false" ht="35.05" hidden="false" customHeight="false" outlineLevel="0" collapsed="false">
      <c r="A605" s="2" t="s">
        <v>1340</v>
      </c>
      <c r="B605" s="2" t="s">
        <v>2724</v>
      </c>
      <c r="C605" s="2" t="s">
        <v>2740</v>
      </c>
      <c r="D605" s="2" t="s">
        <v>2726</v>
      </c>
      <c r="E605" s="2" t="s">
        <v>2500</v>
      </c>
    </row>
    <row r="606" customFormat="false" ht="35.05" hidden="false" customHeight="false" outlineLevel="0" collapsed="false">
      <c r="A606" s="2" t="s">
        <v>1512</v>
      </c>
      <c r="B606" s="2" t="s">
        <v>2724</v>
      </c>
      <c r="C606" s="2" t="s">
        <v>2740</v>
      </c>
      <c r="D606" s="2" t="s">
        <v>2726</v>
      </c>
      <c r="E606" s="2" t="s">
        <v>2512</v>
      </c>
    </row>
    <row r="607" customFormat="false" ht="35.05" hidden="false" customHeight="false" outlineLevel="0" collapsed="false">
      <c r="A607" s="2" t="s">
        <v>2202</v>
      </c>
      <c r="B607" s="2" t="s">
        <v>2724</v>
      </c>
      <c r="C607" s="2" t="s">
        <v>2740</v>
      </c>
      <c r="D607" s="2" t="s">
        <v>2726</v>
      </c>
      <c r="E607" s="2" t="s">
        <v>2296</v>
      </c>
    </row>
    <row r="608" customFormat="false" ht="35.05" hidden="false" customHeight="false" outlineLevel="0" collapsed="false">
      <c r="A608" s="2" t="s">
        <v>2204</v>
      </c>
      <c r="B608" s="2" t="s">
        <v>2724</v>
      </c>
      <c r="C608" s="2" t="s">
        <v>2740</v>
      </c>
      <c r="D608" s="2" t="s">
        <v>2726</v>
      </c>
      <c r="E608" s="2" t="s">
        <v>2578</v>
      </c>
    </row>
    <row r="609" customFormat="false" ht="35.05" hidden="false" customHeight="false" outlineLevel="0" collapsed="false">
      <c r="A609" s="2" t="s">
        <v>1876</v>
      </c>
      <c r="B609" s="2" t="s">
        <v>2724</v>
      </c>
      <c r="C609" s="2" t="s">
        <v>2740</v>
      </c>
      <c r="D609" s="2" t="s">
        <v>2726</v>
      </c>
      <c r="E609" s="2" t="s">
        <v>2578</v>
      </c>
    </row>
    <row r="610" customFormat="false" ht="35.05" hidden="false" customHeight="false" outlineLevel="0" collapsed="false">
      <c r="A610" s="2" t="s">
        <v>2741</v>
      </c>
      <c r="B610" s="2" t="s">
        <v>2724</v>
      </c>
      <c r="C610" s="2" t="s">
        <v>2740</v>
      </c>
      <c r="D610" s="2" t="s">
        <v>2726</v>
      </c>
      <c r="E610" s="2" t="s">
        <v>2578</v>
      </c>
    </row>
    <row r="611" customFormat="false" ht="23.85" hidden="false" customHeight="false" outlineLevel="0" collapsed="false">
      <c r="A611" s="2" t="s">
        <v>2531</v>
      </c>
      <c r="B611" s="2" t="s">
        <v>2742</v>
      </c>
      <c r="C611" s="2" t="s">
        <v>2743</v>
      </c>
      <c r="D611" s="2" t="s">
        <v>2744</v>
      </c>
      <c r="E611" s="2" t="s">
        <v>2491</v>
      </c>
    </row>
    <row r="612" customFormat="false" ht="15" hidden="false" customHeight="false" outlineLevel="0" collapsed="false">
      <c r="A612" s="2" t="s">
        <v>2609</v>
      </c>
      <c r="B612" s="2" t="s">
        <v>2742</v>
      </c>
      <c r="C612" s="2" t="s">
        <v>2745</v>
      </c>
      <c r="D612" s="2" t="s">
        <v>1682</v>
      </c>
      <c r="E612" s="2" t="s">
        <v>2578</v>
      </c>
    </row>
    <row r="613" customFormat="false" ht="15" hidden="false" customHeight="false" outlineLevel="0" collapsed="false">
      <c r="A613" s="2" t="s">
        <v>2653</v>
      </c>
      <c r="B613" s="2" t="s">
        <v>2742</v>
      </c>
      <c r="C613" s="2" t="s">
        <v>2746</v>
      </c>
      <c r="D613" s="2" t="s">
        <v>1682</v>
      </c>
      <c r="E613" s="2" t="s">
        <v>2648</v>
      </c>
    </row>
    <row r="614" customFormat="false" ht="15" hidden="false" customHeight="false" outlineLevel="0" collapsed="false">
      <c r="A614" s="2" t="s">
        <v>2654</v>
      </c>
      <c r="B614" s="2" t="s">
        <v>2742</v>
      </c>
      <c r="C614" s="2" t="s">
        <v>2746</v>
      </c>
      <c r="D614" s="2" t="s">
        <v>1682</v>
      </c>
      <c r="E614" s="2" t="s">
        <v>2648</v>
      </c>
    </row>
    <row r="615" customFormat="false" ht="15" hidden="false" customHeight="false" outlineLevel="0" collapsed="false">
      <c r="A615" s="2" t="s">
        <v>2656</v>
      </c>
      <c r="B615" s="2" t="s">
        <v>2742</v>
      </c>
      <c r="C615" s="2" t="s">
        <v>2746</v>
      </c>
      <c r="D615" s="2" t="s">
        <v>1682</v>
      </c>
      <c r="E615" s="2" t="s">
        <v>2648</v>
      </c>
    </row>
    <row r="616" customFormat="false" ht="15" hidden="false" customHeight="false" outlineLevel="0" collapsed="false">
      <c r="A616" s="2" t="s">
        <v>2605</v>
      </c>
      <c r="B616" s="2" t="s">
        <v>2742</v>
      </c>
      <c r="C616" s="2" t="s">
        <v>2747</v>
      </c>
      <c r="D616" s="2" t="s">
        <v>2748</v>
      </c>
      <c r="E616" s="2" t="s">
        <v>2578</v>
      </c>
    </row>
    <row r="617" customFormat="false" ht="15" hidden="false" customHeight="false" outlineLevel="0" collapsed="false">
      <c r="A617" s="2" t="s">
        <v>2532</v>
      </c>
      <c r="B617" s="2" t="s">
        <v>2742</v>
      </c>
      <c r="C617" s="2" t="s">
        <v>2749</v>
      </c>
      <c r="D617" s="2" t="s">
        <v>2750</v>
      </c>
      <c r="E617" s="2" t="s">
        <v>2491</v>
      </c>
    </row>
    <row r="618" customFormat="false" ht="15" hidden="false" customHeight="false" outlineLevel="0" collapsed="false">
      <c r="A618" s="2" t="s">
        <v>2543</v>
      </c>
      <c r="B618" s="2" t="s">
        <v>2742</v>
      </c>
      <c r="C618" s="2" t="s">
        <v>2751</v>
      </c>
      <c r="D618" s="2" t="s">
        <v>2752</v>
      </c>
      <c r="E618" s="2" t="s">
        <v>2491</v>
      </c>
    </row>
    <row r="619" customFormat="false" ht="15" hidden="false" customHeight="false" outlineLevel="0" collapsed="false">
      <c r="A619" s="2" t="s">
        <v>2657</v>
      </c>
      <c r="B619" s="2" t="s">
        <v>2742</v>
      </c>
      <c r="C619" s="2" t="s">
        <v>2749</v>
      </c>
      <c r="D619" s="2" t="s">
        <v>2752</v>
      </c>
      <c r="E619" s="2" t="s">
        <v>2648</v>
      </c>
    </row>
    <row r="620" customFormat="false" ht="15" hidden="false" customHeight="false" outlineLevel="0" collapsed="false">
      <c r="A620" s="2" t="s">
        <v>2675</v>
      </c>
      <c r="B620" s="2" t="s">
        <v>2742</v>
      </c>
      <c r="C620" s="2" t="s">
        <v>2749</v>
      </c>
      <c r="D620" s="2" t="s">
        <v>2752</v>
      </c>
      <c r="E620" s="2" t="s">
        <v>2321</v>
      </c>
    </row>
    <row r="621" customFormat="false" ht="15" hidden="false" customHeight="false" outlineLevel="0" collapsed="false">
      <c r="A621" s="2" t="s">
        <v>2308</v>
      </c>
      <c r="B621" s="2" t="s">
        <v>2742</v>
      </c>
      <c r="C621" s="2" t="s">
        <v>2753</v>
      </c>
      <c r="D621" s="2" t="s">
        <v>2752</v>
      </c>
      <c r="E621" s="2" t="s">
        <v>2298</v>
      </c>
    </row>
    <row r="622" customFormat="false" ht="15" hidden="false" customHeight="false" outlineLevel="0" collapsed="false">
      <c r="A622" s="2" t="s">
        <v>2363</v>
      </c>
      <c r="B622" s="2" t="s">
        <v>2742</v>
      </c>
      <c r="C622" s="2" t="s">
        <v>2753</v>
      </c>
      <c r="D622" s="2" t="s">
        <v>2752</v>
      </c>
      <c r="E622" s="2" t="s">
        <v>2326</v>
      </c>
    </row>
    <row r="623" customFormat="false" ht="15" hidden="false" customHeight="false" outlineLevel="0" collapsed="false">
      <c r="A623" s="2" t="s">
        <v>2754</v>
      </c>
      <c r="B623" s="2" t="s">
        <v>2742</v>
      </c>
      <c r="C623" s="2" t="s">
        <v>2755</v>
      </c>
      <c r="D623" s="2" t="s">
        <v>2756</v>
      </c>
      <c r="E623" s="2" t="s">
        <v>2757</v>
      </c>
    </row>
    <row r="624" customFormat="false" ht="23.85" hidden="false" customHeight="false" outlineLevel="0" collapsed="false">
      <c r="A624" s="2" t="s">
        <v>2758</v>
      </c>
      <c r="B624" s="2" t="s">
        <v>2235</v>
      </c>
      <c r="C624" s="2" t="s">
        <v>2759</v>
      </c>
      <c r="D624" s="2" t="s">
        <v>2760</v>
      </c>
      <c r="E624" s="2" t="s">
        <v>2757</v>
      </c>
    </row>
    <row r="625" customFormat="false" ht="15" hidden="false" customHeight="false" outlineLevel="0" collapsed="false">
      <c r="A625" s="2" t="s">
        <v>2761</v>
      </c>
      <c r="B625" s="2" t="s">
        <v>2245</v>
      </c>
      <c r="C625" s="2" t="s">
        <v>2762</v>
      </c>
      <c r="D625" s="2" t="s">
        <v>2249</v>
      </c>
      <c r="E625" s="2" t="s">
        <v>2757</v>
      </c>
    </row>
    <row r="626" customFormat="false" ht="23.85" hidden="false" customHeight="false" outlineLevel="0" collapsed="false">
      <c r="A626" s="2" t="s">
        <v>2763</v>
      </c>
      <c r="B626" s="2" t="s">
        <v>2764</v>
      </c>
      <c r="C626" s="2" t="s">
        <v>2765</v>
      </c>
      <c r="D626" s="2" t="s">
        <v>2766</v>
      </c>
      <c r="E626" s="2" t="s">
        <v>2757</v>
      </c>
    </row>
    <row r="627" customFormat="false" ht="23.85" hidden="false" customHeight="false" outlineLevel="0" collapsed="false">
      <c r="A627" s="2" t="s">
        <v>2767</v>
      </c>
      <c r="B627" s="2" t="s">
        <v>2764</v>
      </c>
      <c r="C627" s="2" t="s">
        <v>2768</v>
      </c>
      <c r="D627" s="2" t="s">
        <v>2769</v>
      </c>
      <c r="E627" s="2" t="s">
        <v>2757</v>
      </c>
    </row>
    <row r="628" customFormat="false" ht="15" hidden="false" customHeight="false" outlineLevel="0" collapsed="false">
      <c r="A628" s="2" t="s">
        <v>2256</v>
      </c>
      <c r="B628" s="2" t="s">
        <v>2764</v>
      </c>
      <c r="C628" s="2" t="s">
        <v>2770</v>
      </c>
      <c r="D628" s="2" t="s">
        <v>2771</v>
      </c>
      <c r="E628" s="2" t="s">
        <v>2255</v>
      </c>
    </row>
    <row r="629" customFormat="false" ht="15" hidden="false" customHeight="false" outlineLevel="0" collapsed="false">
      <c r="A629" s="2" t="s">
        <v>2772</v>
      </c>
      <c r="B629" s="2" t="s">
        <v>2773</v>
      </c>
      <c r="C629" s="2" t="s">
        <v>2774</v>
      </c>
      <c r="D629" s="2" t="s">
        <v>2775</v>
      </c>
      <c r="E629" s="2" t="s">
        <v>2326</v>
      </c>
    </row>
    <row r="630" customFormat="false" ht="15" hidden="false" customHeight="false" outlineLevel="0" collapsed="false">
      <c r="A630" s="2" t="s">
        <v>2776</v>
      </c>
      <c r="B630" s="2" t="s">
        <v>2773</v>
      </c>
      <c r="C630" s="2" t="s">
        <v>2777</v>
      </c>
      <c r="D630" s="2" t="s">
        <v>2778</v>
      </c>
      <c r="E630" s="2" t="s">
        <v>2338</v>
      </c>
    </row>
    <row r="631" customFormat="false" ht="15" hidden="false" customHeight="false" outlineLevel="0" collapsed="false">
      <c r="A631" s="2" t="s">
        <v>2459</v>
      </c>
      <c r="B631" s="2" t="s">
        <v>2773</v>
      </c>
      <c r="C631" s="2" t="s">
        <v>2779</v>
      </c>
      <c r="D631" s="2" t="s">
        <v>2780</v>
      </c>
      <c r="E631" s="2" t="s">
        <v>2255</v>
      </c>
    </row>
    <row r="632" customFormat="false" ht="15" hidden="false" customHeight="false" outlineLevel="0" collapsed="false">
      <c r="A632" s="2" t="s">
        <v>2674</v>
      </c>
      <c r="B632" s="2" t="s">
        <v>2773</v>
      </c>
      <c r="C632" s="2" t="s">
        <v>2781</v>
      </c>
      <c r="D632" s="2" t="s">
        <v>2748</v>
      </c>
      <c r="E632" s="2" t="s">
        <v>2321</v>
      </c>
    </row>
    <row r="633" customFormat="false" ht="23.85" hidden="false" customHeight="false" outlineLevel="0" collapsed="false">
      <c r="A633" s="2" t="s">
        <v>1506</v>
      </c>
      <c r="B633" s="2" t="s">
        <v>2224</v>
      </c>
      <c r="C633" s="2" t="s">
        <v>2782</v>
      </c>
      <c r="D633" s="2" t="s">
        <v>2783</v>
      </c>
      <c r="E633" s="2" t="s">
        <v>2338</v>
      </c>
    </row>
    <row r="634" customFormat="false" ht="35.05" hidden="false" customHeight="false" outlineLevel="0" collapsed="false">
      <c r="A634" s="2" t="s">
        <v>2784</v>
      </c>
      <c r="B634" s="2" t="s">
        <v>2785</v>
      </c>
      <c r="C634" s="2" t="s">
        <v>2786</v>
      </c>
      <c r="D634" s="2" t="s">
        <v>2787</v>
      </c>
      <c r="E634" s="2" t="s">
        <v>2247</v>
      </c>
    </row>
    <row r="635" customFormat="false" ht="15" hidden="false" customHeight="false" outlineLevel="0" collapsed="false">
      <c r="A635" s="2" t="s">
        <v>2788</v>
      </c>
      <c r="B635" s="2" t="s">
        <v>2785</v>
      </c>
      <c r="C635" s="2" t="s">
        <v>2789</v>
      </c>
      <c r="D635" s="2" t="s">
        <v>2790</v>
      </c>
      <c r="E635" s="2" t="s">
        <v>2298</v>
      </c>
    </row>
    <row r="636" customFormat="false" ht="15" hidden="false" customHeight="false" outlineLevel="0" collapsed="false">
      <c r="A636" s="2" t="s">
        <v>2271</v>
      </c>
      <c r="B636" s="2" t="s">
        <v>2785</v>
      </c>
      <c r="C636" s="2" t="s">
        <v>2791</v>
      </c>
      <c r="D636" s="2" t="s">
        <v>2792</v>
      </c>
      <c r="E636" s="2" t="s">
        <v>2268</v>
      </c>
    </row>
    <row r="637" customFormat="false" ht="15" hidden="false" customHeight="false" outlineLevel="0" collapsed="false">
      <c r="A637" s="2" t="s">
        <v>2511</v>
      </c>
      <c r="B637" s="2" t="s">
        <v>2161</v>
      </c>
      <c r="C637" s="2" t="s">
        <v>2793</v>
      </c>
      <c r="D637" s="2" t="s">
        <v>2794</v>
      </c>
      <c r="E637" s="2" t="s">
        <v>2512</v>
      </c>
    </row>
    <row r="638" customFormat="false" ht="35.05" hidden="false" customHeight="false" outlineLevel="0" collapsed="false">
      <c r="A638" s="2" t="s">
        <v>2795</v>
      </c>
      <c r="B638" s="2" t="s">
        <v>2796</v>
      </c>
      <c r="C638" s="2" t="s">
        <v>2797</v>
      </c>
      <c r="D638" s="2" t="s">
        <v>2798</v>
      </c>
      <c r="E638" s="2" t="s">
        <v>2255</v>
      </c>
    </row>
  </sheetData>
  <autoFilter ref="A1:E63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4" min="4" style="0" width="80"/>
  </cols>
  <sheetData>
    <row r="1" customFormat="false" ht="15" hidden="false" customHeight="false" outlineLevel="0" collapsed="false">
      <c r="A1" s="3" t="s">
        <v>8</v>
      </c>
      <c r="B1" s="3" t="s">
        <v>2799</v>
      </c>
      <c r="C1" s="3" t="s">
        <v>2800</v>
      </c>
      <c r="D1" s="3" t="s">
        <v>1219</v>
      </c>
    </row>
    <row r="2" customFormat="false" ht="15" hidden="false" customHeight="false" outlineLevel="0" collapsed="false">
      <c r="A2" s="2" t="s">
        <v>85</v>
      </c>
      <c r="B2" s="2" t="s">
        <v>2801</v>
      </c>
      <c r="C2" s="2" t="s">
        <v>2802</v>
      </c>
      <c r="D2" s="2" t="s">
        <v>2803</v>
      </c>
    </row>
    <row r="3" customFormat="false" ht="23.85" hidden="false" customHeight="false" outlineLevel="0" collapsed="false">
      <c r="A3" s="2" t="s">
        <v>96</v>
      </c>
      <c r="B3" s="2" t="s">
        <v>2804</v>
      </c>
      <c r="C3" s="2" t="s">
        <v>2805</v>
      </c>
      <c r="D3" s="2" t="s">
        <v>2806</v>
      </c>
    </row>
    <row r="4" customFormat="false" ht="15" hidden="false" customHeight="false" outlineLevel="0" collapsed="false">
      <c r="A4" s="2" t="s">
        <v>217</v>
      </c>
      <c r="B4" s="2" t="s">
        <v>2801</v>
      </c>
      <c r="C4" s="2" t="s">
        <v>2807</v>
      </c>
      <c r="D4" s="2" t="s">
        <v>2808</v>
      </c>
    </row>
    <row r="5" customFormat="false" ht="15" hidden="false" customHeight="false" outlineLevel="0" collapsed="false">
      <c r="A5" s="2" t="s">
        <v>339</v>
      </c>
      <c r="B5" s="2" t="s">
        <v>2809</v>
      </c>
      <c r="C5" s="2" t="s">
        <v>2805</v>
      </c>
      <c r="D5" s="2" t="s">
        <v>2810</v>
      </c>
    </row>
    <row r="6" customFormat="false" ht="15" hidden="false" customHeight="false" outlineLevel="0" collapsed="false">
      <c r="A6" s="2" t="s">
        <v>642</v>
      </c>
      <c r="B6" s="2" t="s">
        <v>2809</v>
      </c>
      <c r="C6" s="2" t="s">
        <v>2805</v>
      </c>
      <c r="D6" s="2" t="s">
        <v>2811</v>
      </c>
    </row>
    <row r="7" customFormat="false" ht="15" hidden="false" customHeight="false" outlineLevel="0" collapsed="false">
      <c r="A7" s="2" t="s">
        <v>708</v>
      </c>
      <c r="B7" s="2" t="s">
        <v>2801</v>
      </c>
      <c r="C7" s="2" t="s">
        <v>2812</v>
      </c>
      <c r="D7" s="2"/>
    </row>
    <row r="8" customFormat="false" ht="15" hidden="false" customHeight="false" outlineLevel="0" collapsed="false">
      <c r="A8" s="2" t="s">
        <v>674</v>
      </c>
      <c r="B8" s="2" t="s">
        <v>2809</v>
      </c>
      <c r="C8" s="2" t="s">
        <v>2805</v>
      </c>
      <c r="D8" s="2" t="s">
        <v>2813</v>
      </c>
    </row>
    <row r="9" customFormat="false" ht="15" hidden="false" customHeight="false" outlineLevel="0" collapsed="false">
      <c r="A9" s="2" t="s">
        <v>787</v>
      </c>
      <c r="B9" s="2" t="s">
        <v>2801</v>
      </c>
      <c r="C9" s="2" t="s">
        <v>2814</v>
      </c>
      <c r="D9" s="2"/>
    </row>
    <row r="10" customFormat="false" ht="15" hidden="false" customHeight="false" outlineLevel="0" collapsed="false">
      <c r="A10" s="2" t="s">
        <v>510</v>
      </c>
      <c r="B10" s="2" t="s">
        <v>2809</v>
      </c>
      <c r="C10" s="2" t="s">
        <v>2805</v>
      </c>
      <c r="D10" s="2" t="s">
        <v>2815</v>
      </c>
    </row>
    <row r="11" customFormat="false" ht="15" hidden="false" customHeight="false" outlineLevel="0" collapsed="false">
      <c r="A11" s="2" t="s">
        <v>959</v>
      </c>
      <c r="B11" s="2" t="s">
        <v>2801</v>
      </c>
      <c r="C11" s="2" t="s">
        <v>2816</v>
      </c>
      <c r="D11" s="2"/>
    </row>
    <row r="12" customFormat="false" ht="15" hidden="false" customHeight="false" outlineLevel="0" collapsed="false">
      <c r="A12" s="2" t="s">
        <v>986</v>
      </c>
      <c r="B12" s="2" t="s">
        <v>2801</v>
      </c>
      <c r="C12" s="2" t="s">
        <v>2816</v>
      </c>
      <c r="D12" s="2"/>
    </row>
    <row r="13" customFormat="false" ht="15" hidden="false" customHeight="false" outlineLevel="0" collapsed="false">
      <c r="A13" s="2" t="s">
        <v>585</v>
      </c>
      <c r="B13" s="2" t="s">
        <v>2801</v>
      </c>
      <c r="C13" s="2" t="s">
        <v>2817</v>
      </c>
      <c r="D13" s="2" t="s">
        <v>98</v>
      </c>
    </row>
    <row r="14" customFormat="false" ht="15" hidden="false" customHeight="false" outlineLevel="0" collapsed="false">
      <c r="A14" s="2" t="s">
        <v>2818</v>
      </c>
      <c r="B14" s="2" t="s">
        <v>2801</v>
      </c>
      <c r="C14" s="2" t="s">
        <v>2817</v>
      </c>
      <c r="D14" s="2" t="s">
        <v>2819</v>
      </c>
    </row>
    <row r="15" customFormat="false" ht="15" hidden="false" customHeight="false" outlineLevel="0" collapsed="false">
      <c r="A15" s="2" t="s">
        <v>2820</v>
      </c>
      <c r="B15" s="2" t="s">
        <v>2801</v>
      </c>
      <c r="C15" s="2" t="s">
        <v>2817</v>
      </c>
      <c r="D15" s="2"/>
    </row>
    <row r="16" customFormat="false" ht="15" hidden="false" customHeight="false" outlineLevel="0" collapsed="false">
      <c r="A16" s="2" t="s">
        <v>2821</v>
      </c>
      <c r="B16" s="2" t="s">
        <v>2801</v>
      </c>
      <c r="C16" s="2" t="s">
        <v>2817</v>
      </c>
      <c r="D16" s="2"/>
    </row>
    <row r="17" customFormat="false" ht="15" hidden="false" customHeight="false" outlineLevel="0" collapsed="false">
      <c r="A17" s="2" t="s">
        <v>2822</v>
      </c>
      <c r="B17" s="2" t="s">
        <v>2823</v>
      </c>
      <c r="C17" s="2" t="s">
        <v>2805</v>
      </c>
      <c r="D17" s="2" t="s">
        <v>2824</v>
      </c>
    </row>
    <row r="18" customFormat="false" ht="15" hidden="false" customHeight="false" outlineLevel="0" collapsed="false">
      <c r="A18" s="2" t="s">
        <v>2825</v>
      </c>
      <c r="B18" s="2" t="s">
        <v>2826</v>
      </c>
      <c r="C18" s="2" t="s">
        <v>2817</v>
      </c>
      <c r="D18" s="2" t="s">
        <v>329</v>
      </c>
    </row>
    <row r="19" customFormat="false" ht="15" hidden="false" customHeight="false" outlineLevel="0" collapsed="false">
      <c r="A19" s="2" t="s">
        <v>613</v>
      </c>
      <c r="B19" s="2" t="s">
        <v>2801</v>
      </c>
      <c r="C19" s="2" t="s">
        <v>2805</v>
      </c>
      <c r="D19" s="2"/>
    </row>
    <row r="20" customFormat="false" ht="15" hidden="false" customHeight="false" outlineLevel="0" collapsed="false">
      <c r="A20" s="2" t="s">
        <v>2827</v>
      </c>
      <c r="B20" s="2" t="s">
        <v>2801</v>
      </c>
      <c r="C20" s="2" t="s">
        <v>2801</v>
      </c>
      <c r="D20" s="2" t="s">
        <v>2828</v>
      </c>
    </row>
    <row r="21" customFormat="false" ht="23.85" hidden="false" customHeight="false" outlineLevel="0" collapsed="false">
      <c r="A21" s="2" t="s">
        <v>2829</v>
      </c>
      <c r="B21" s="2" t="s">
        <v>2801</v>
      </c>
      <c r="C21" s="2" t="s">
        <v>2801</v>
      </c>
      <c r="D21" s="2" t="s">
        <v>2830</v>
      </c>
    </row>
  </sheetData>
  <autoFilter ref="A1:D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2026-10-01T14:29:24Z</dcterms:created>
  <dc:creator>openpyxl</dc:creator>
  <dc:description/>
  <dc:language>en-US</dc:language>
  <cp:lastModifiedBy/>
  <dcterms:modified xsi:type="dcterms:W3CDTF">2026-10-01T14:29:24Z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